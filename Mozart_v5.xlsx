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ходные данные" sheetId="1" state="visible" r:id="rId1"/>
    <sheet xmlns:r="http://schemas.openxmlformats.org/officeDocument/2006/relationships" name="P&amp;L Анализ" sheetId="2" state="visible" r:id="rId2"/>
    <sheet xmlns:r="http://schemas.openxmlformats.org/officeDocument/2006/relationships" name="Команда" sheetId="3" state="visible" r:id="rId3"/>
    <sheet xmlns:r="http://schemas.openxmlformats.org/officeDocument/2006/relationships" name="Точка безубыточности" sheetId="4" state="visible" r:id="rId4"/>
    <sheet xmlns:r="http://schemas.openxmlformats.org/officeDocument/2006/relationships" name="Оптимизация затрат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 ##0"/>
    <numFmt numFmtId="165" formatCode="0.0%"/>
    <numFmt numFmtId="166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000000"/>
      <sz val="11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 wrapText="1"/>
    </xf>
    <xf numFmtId="49" fontId="5" fillId="6" borderId="1" applyAlignment="1" pivotButton="0" quotePrefix="0" xfId="0">
      <alignment horizontal="left" vertical="center" wrapText="1"/>
    </xf>
    <xf numFmtId="9" fontId="5" fillId="5" borderId="1" applyAlignment="1" pivotButton="0" quotePrefix="0" xfId="0">
      <alignment horizontal="right" vertical="center" wrapText="1"/>
    </xf>
    <xf numFmtId="164" fontId="5" fillId="7" borderId="1" applyAlignment="1" pivotButton="0" quotePrefix="0" xfId="0">
      <alignment horizontal="right" vertical="center" wrapText="1"/>
    </xf>
    <xf numFmtId="165" fontId="5" fillId="5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right" vertical="center" wrapText="1"/>
    </xf>
    <xf numFmtId="165" fontId="5" fillId="7" borderId="1" applyAlignment="1" pivotButton="0" quotePrefix="0" xfId="0">
      <alignment horizontal="right" vertical="center" wrapText="1"/>
    </xf>
    <xf numFmtId="49" fontId="5" fillId="8" borderId="1" applyAlignment="1" pivotButton="0" quotePrefix="0" xfId="0">
      <alignment horizontal="right" vertical="center" wrapText="1"/>
    </xf>
    <xf numFmtId="164" fontId="2" fillId="3" borderId="1" applyAlignment="1" pivotButton="0" quotePrefix="0" xfId="0">
      <alignment horizontal="right" vertical="center" wrapText="1"/>
    </xf>
    <xf numFmtId="165" fontId="2" fillId="3" borderId="1" applyAlignment="1" pivotButton="0" quotePrefix="0" xfId="0">
      <alignment horizontal="right" vertical="center" wrapText="1"/>
    </xf>
    <xf numFmtId="164" fontId="2" fillId="9" borderId="1" applyAlignment="1" pivotButton="0" quotePrefix="0" xfId="0">
      <alignment horizontal="right" vertical="center" wrapText="1"/>
    </xf>
    <xf numFmtId="165" fontId="2" fillId="9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left" vertical="center"/>
    </xf>
    <xf numFmtId="9" fontId="5" fillId="7" borderId="1" applyAlignment="1" pivotButton="0" quotePrefix="0" xfId="0">
      <alignment horizontal="right" vertical="center" wrapText="1"/>
    </xf>
    <xf numFmtId="166" fontId="5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</cols>
  <sheetData>
    <row r="1">
      <c r="A1" s="1" t="inlineStr">
        <is>
          <t>ВХОДНЫЕ ДАННЫЕ — Моцарт для детей</t>
        </is>
      </c>
      <c r="B1" s="2" t="n"/>
      <c r="C1" s="3" t="n"/>
    </row>
    <row r="2">
      <c r="A2" s="4" t="inlineStr">
        <is>
          <t>Показатель</t>
        </is>
      </c>
      <c r="B2" s="4" t="inlineStr">
        <is>
          <t>Значение</t>
        </is>
      </c>
      <c r="C2" s="4" t="inlineStr">
        <is>
          <t>Источник</t>
        </is>
      </c>
    </row>
    <row r="3">
      <c r="A3" s="5" t="inlineStr">
        <is>
          <t>ВЫРУЧКА (факт)</t>
        </is>
      </c>
      <c r="B3" s="2" t="n"/>
      <c r="C3" s="3" t="n"/>
    </row>
    <row r="4">
      <c r="A4" s="6" t="inlineStr">
        <is>
          <t>Выручка 2025 год (факт), руб.</t>
        </is>
      </c>
      <c r="B4" s="7" t="n">
        <v>18001161</v>
      </c>
      <c r="C4" s="8" t="inlineStr">
        <is>
          <t>Отчёт P&amp;L 2025</t>
        </is>
      </c>
    </row>
    <row r="5">
      <c r="A5" s="6" t="inlineStr">
        <is>
          <t>Выручка 2026 янв–апр (факт), руб.</t>
        </is>
      </c>
      <c r="B5" s="7" t="n">
        <v>6069274</v>
      </c>
      <c r="C5" s="8" t="inlineStr">
        <is>
          <t>Отчёт P&amp;L янв–апр 2026</t>
        </is>
      </c>
    </row>
    <row r="6">
      <c r="A6" s="6" t="inlineStr">
        <is>
          <t>Выручка ноябрь 2025 (эталон), руб.</t>
        </is>
      </c>
      <c r="B6" s="7" t="n">
        <v>1804520</v>
      </c>
      <c r="C6" s="8" t="inlineStr">
        <is>
          <t>P&amp;L ноябрь 2025</t>
        </is>
      </c>
    </row>
    <row r="7">
      <c r="A7" s="6" t="inlineStr">
        <is>
          <t>Кол-во концертов 2025 (факт)</t>
        </is>
      </c>
      <c r="B7" s="7" t="n">
        <v>437</v>
      </c>
      <c r="C7" s="8" t="inlineStr">
        <is>
          <t>Статистика</t>
        </is>
      </c>
    </row>
    <row r="8">
      <c r="A8" s="6" t="inlineStr">
        <is>
          <t>Кол-во концертов 2026 янв–апр (факт)</t>
        </is>
      </c>
      <c r="B8" s="7" t="n">
        <v>148</v>
      </c>
      <c r="C8" s="8" t="inlineStr">
        <is>
          <t>Статистика</t>
        </is>
      </c>
    </row>
    <row r="9">
      <c r="A9" s="5" t="inlineStr">
        <is>
          <t>ПАРАМЕТРЫ ЗАЛА И БИЛЕТОВ</t>
        </is>
      </c>
      <c r="B9" s="2" t="n"/>
      <c r="C9" s="3" t="n"/>
    </row>
    <row r="10">
      <c r="A10" s="6" t="inlineStr">
        <is>
          <t>Вместимость зала, мест</t>
        </is>
      </c>
      <c r="B10" s="7" t="n">
        <v>35</v>
      </c>
      <c r="C10" s="8" t="inlineStr">
        <is>
          <t>Фактические данные площадок</t>
        </is>
      </c>
    </row>
    <row r="11">
      <c r="A11" s="6" t="inlineStr">
        <is>
          <t>Средний билет, руб.</t>
        </is>
      </c>
      <c r="B11" s="7" t="n">
        <v>2800</v>
      </c>
      <c r="C11" s="8" t="inlineStr">
        <is>
          <t>Прайс-лист (источники)</t>
        </is>
      </c>
    </row>
    <row r="12">
      <c r="A12" s="6" t="inlineStr">
        <is>
          <t>Заполняемость (типовая), %</t>
        </is>
      </c>
      <c r="B12" s="9" t="n">
        <v>0.75</v>
      </c>
      <c r="C12" s="8" t="inlineStr">
        <is>
          <t>Операционные данные</t>
        </is>
      </c>
    </row>
    <row r="13">
      <c r="A13" s="6" t="inlineStr">
        <is>
          <t>Выручка с концерта (полн. зал), руб.</t>
        </is>
      </c>
      <c r="B13" s="10">
        <f>B10*B11</f>
        <v/>
      </c>
      <c r="C13" s="8">
        <f>Вместимость×Билет</f>
        <v/>
      </c>
    </row>
    <row r="14">
      <c r="A14" s="6" t="inlineStr">
        <is>
          <t>Выручка с концерта (факт. 75%), руб.</t>
        </is>
      </c>
      <c r="B14" s="10">
        <f>B10*B11*B12</f>
        <v/>
      </c>
      <c r="C14" s="8">
        <f>Вмест.×Билет×Заполн.</f>
        <v/>
      </c>
    </row>
    <row r="15">
      <c r="A15" s="5" t="inlineStr">
        <is>
          <t>СТРУКТУРА ЗАТРАТ (% от выручки, ноябрь 2025)</t>
        </is>
      </c>
      <c r="B15" s="2" t="n"/>
      <c r="C15" s="3" t="n"/>
    </row>
    <row r="16">
      <c r="A16" s="6" t="inlineStr">
        <is>
          <t>Гонорары артистам, %</t>
        </is>
      </c>
      <c r="B16" s="11" t="n">
        <v>0.434</v>
      </c>
      <c r="C16" s="8" t="inlineStr">
        <is>
          <t>P&amp;L ноябрь 2025: 783 074 / 1 804 520</t>
        </is>
      </c>
    </row>
    <row r="17">
      <c r="A17" s="6" t="inlineStr">
        <is>
          <t>Аренда зала, %</t>
        </is>
      </c>
      <c r="B17" s="11" t="n">
        <v>0.167</v>
      </c>
      <c r="C17" s="8" t="inlineStr">
        <is>
          <t>P&amp;L ноябрь 2025: 302 113 / 1 804 520</t>
        </is>
      </c>
    </row>
    <row r="18">
      <c r="A18" s="6" t="inlineStr">
        <is>
          <t>Ticketscloud, %</t>
        </is>
      </c>
      <c r="B18" s="11" t="n">
        <v>0.08</v>
      </c>
      <c r="C18" s="8" t="inlineStr">
        <is>
          <t>P&amp;L ноябрь 2025: 144 362 / 1 804 520</t>
        </is>
      </c>
    </row>
    <row r="19">
      <c r="A19" s="6" t="inlineStr">
        <is>
          <t>Прочие расходы, %</t>
        </is>
      </c>
      <c r="B19" s="11" t="n">
        <v>0.026</v>
      </c>
      <c r="C19" s="8" t="inlineStr">
        <is>
          <t>P&amp;L ноябрь 2025: 46 835 / 1 804 520</t>
        </is>
      </c>
    </row>
    <row r="20">
      <c r="A20" s="6" t="inlineStr">
        <is>
          <t>Налог (УСН 6%), %</t>
        </is>
      </c>
      <c r="B20" s="11" t="n">
        <v>0.061</v>
      </c>
      <c r="C20" s="8" t="inlineStr">
        <is>
          <t>Налоговый режим</t>
        </is>
      </c>
    </row>
    <row r="21">
      <c r="A21" s="6" t="inlineStr">
        <is>
          <t>Чистая прибыль, %</t>
        </is>
      </c>
      <c r="B21" s="11" t="n">
        <v>0.231</v>
      </c>
      <c r="C21" s="8" t="inlineStr">
        <is>
          <t>P&amp;L ноябрь 2025: 417 387 / 1 804 520</t>
        </is>
      </c>
    </row>
    <row r="22">
      <c r="A22" s="5" t="inlineStr">
        <is>
          <t>УПРАВЛЕНЧЕСКАЯ КОМАНДА</t>
        </is>
      </c>
      <c r="B22" s="2" t="n"/>
      <c r="C22" s="3" t="n"/>
    </row>
    <row r="23">
      <c r="A23" s="6" t="inlineStr">
        <is>
          <t>Руководитель</t>
        </is>
      </c>
      <c r="B23" s="7" t="n">
        <v>25000</v>
      </c>
      <c r="C23" s="8" t="inlineStr">
        <is>
          <t>Фиксированная ставка (без %, без надбавок)</t>
        </is>
      </c>
    </row>
    <row r="24">
      <c r="A24" s="6" t="inlineStr">
        <is>
          <t>Менеджер выездных мероприятий</t>
        </is>
      </c>
      <c r="B24" s="7" t="n">
        <v>25000</v>
      </c>
      <c r="C24" s="8" t="inlineStr">
        <is>
          <t>Фиксированная ставка (без %, без надбавок)</t>
        </is>
      </c>
    </row>
    <row r="25">
      <c r="A25" s="6" t="inlineStr">
        <is>
          <t>SMM-специалист</t>
        </is>
      </c>
      <c r="B25" s="7" t="n">
        <v>25000</v>
      </c>
      <c r="C25" s="8" t="inlineStr">
        <is>
          <t>Фиксированная ставка (без %, без надбавок)</t>
        </is>
      </c>
    </row>
    <row r="26">
      <c r="A26" s="6" t="inlineStr">
        <is>
          <t>Концертный директор</t>
        </is>
      </c>
      <c r="B26" s="7" t="n">
        <v>25000</v>
      </c>
      <c r="C26" s="8" t="inlineStr">
        <is>
          <t>Фиксированная ставка (без %, без надбавок)</t>
        </is>
      </c>
    </row>
    <row r="27">
      <c r="A27" s="6" t="inlineStr">
        <is>
          <t>Куратор концертов</t>
        </is>
      </c>
      <c r="B27" s="7" t="n">
        <v>25000</v>
      </c>
      <c r="C27" s="8" t="inlineStr">
        <is>
          <t>Фиксированная ставка (без %, без надбавок)</t>
        </is>
      </c>
    </row>
    <row r="28">
      <c r="A28" s="6" t="inlineStr">
        <is>
          <t>Специалист по сайту</t>
        </is>
      </c>
      <c r="B28" s="7" t="n">
        <v>25000</v>
      </c>
      <c r="C28" s="8" t="inlineStr">
        <is>
          <t>Фиксированная ставка (без %, без надбавок)</t>
        </is>
      </c>
    </row>
    <row r="29">
      <c r="A29" s="6" t="inlineStr">
        <is>
          <t>Координатор программ</t>
        </is>
      </c>
      <c r="B29" s="7" t="n">
        <v>25000</v>
      </c>
      <c r="C29" s="8" t="inlineStr">
        <is>
          <t>Фиксированная ставка (без %, без надбавок)</t>
        </is>
      </c>
    </row>
    <row r="30">
      <c r="A30" s="12" t="inlineStr">
        <is>
          <t>ИТОГО команда, руб./мес.</t>
        </is>
      </c>
      <c r="B30" s="13">
        <f>SUM(B23:B29)</f>
        <v/>
      </c>
      <c r="C30" s="8">
        <f>7 × 25 000</f>
        <v/>
      </c>
    </row>
    <row r="31">
      <c r="A31" s="12" t="inlineStr">
        <is>
          <t>ИТОГО команда, руб./год</t>
        </is>
      </c>
      <c r="B31" s="13">
        <f>B30*12</f>
        <v/>
      </c>
      <c r="C31" s="8">
        <f>месяц × 12</f>
        <v/>
      </c>
    </row>
  </sheetData>
  <mergeCells count="5">
    <mergeCell ref="A1:C1"/>
    <mergeCell ref="A22:C22"/>
    <mergeCell ref="A9:C9"/>
    <mergeCell ref="A3:C3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</cols>
  <sheetData>
    <row r="1">
      <c r="A1" s="1" t="inlineStr">
        <is>
          <t>P&amp;L АНАЛИЗ — МОЦАРТ ДЛЯ ДЕТЕЙ</t>
        </is>
      </c>
      <c r="B1" s="2" t="n"/>
      <c r="C1" s="2" t="n"/>
      <c r="D1" s="2" t="n"/>
      <c r="E1" s="2" t="n"/>
      <c r="F1" s="3" t="n"/>
    </row>
    <row r="3">
      <c r="A3" s="4" t="inlineStr">
        <is>
          <t>Показатель</t>
        </is>
      </c>
      <c r="B3" s="4" t="inlineStr">
        <is>
          <t>2025 факт</t>
        </is>
      </c>
      <c r="C3" s="4" t="inlineStr">
        <is>
          <t>2026 янв–апр</t>
        </is>
      </c>
      <c r="D3" s="4" t="inlineStr">
        <is>
          <t>2026 прогноз (год)</t>
        </is>
      </c>
      <c r="E3" s="4" t="inlineStr">
        <is>
          <t>Ноябрь 2025</t>
        </is>
      </c>
      <c r="F3" s="4" t="inlineStr">
        <is>
          <t>% (ноябрь)</t>
        </is>
      </c>
    </row>
    <row r="4">
      <c r="A4" s="5" t="inlineStr">
        <is>
          <t>ВЫРУЧКА</t>
        </is>
      </c>
      <c r="B4" s="2" t="n"/>
      <c r="C4" s="2" t="n"/>
      <c r="D4" s="2" t="n"/>
      <c r="E4" s="2" t="n"/>
      <c r="F4" s="3" t="n"/>
    </row>
    <row r="5">
      <c r="A5" s="6" t="inlineStr">
        <is>
          <t>Выручка, руб.</t>
        </is>
      </c>
      <c r="B5" s="10">
        <f>'Входные данные'!B4</f>
        <v/>
      </c>
      <c r="C5" s="10">
        <f>'Входные данные'!B5</f>
        <v/>
      </c>
      <c r="D5" s="10">
        <f>C5/4*12</f>
        <v/>
      </c>
      <c r="E5" s="10">
        <f>'Входные данные'!B6</f>
        <v/>
      </c>
      <c r="F5" s="14">
        <f>E5/E5</f>
        <v/>
      </c>
    </row>
    <row r="6">
      <c r="A6" s="6" t="inlineStr">
        <is>
          <t>Кол-во концертов</t>
        </is>
      </c>
      <c r="B6" s="10">
        <f>'Входные данные'!B7</f>
        <v/>
      </c>
      <c r="C6" s="10">
        <f>'Входные данные'!B8</f>
        <v/>
      </c>
      <c r="D6" s="10">
        <f>C6/4*12</f>
        <v/>
      </c>
      <c r="E6" s="15" t="inlineStr"/>
      <c r="F6" s="15" t="inlineStr"/>
    </row>
    <row r="7">
      <c r="A7" s="6" t="inlineStr">
        <is>
          <t>Средняя выручка/концерт, руб.</t>
        </is>
      </c>
      <c r="B7" s="10">
        <f>B5/B6</f>
        <v/>
      </c>
      <c r="C7" s="10">
        <f>C5/C6</f>
        <v/>
      </c>
      <c r="D7" s="10">
        <f>D5/D6</f>
        <v/>
      </c>
      <c r="E7" s="15" t="inlineStr"/>
      <c r="F7" s="15" t="inlineStr"/>
    </row>
    <row r="8">
      <c r="A8" s="5" t="inlineStr">
        <is>
          <t>ЗАТРАТЫ (операционные)</t>
        </is>
      </c>
      <c r="B8" s="2" t="n"/>
      <c r="C8" s="2" t="n"/>
      <c r="D8" s="2" t="n"/>
      <c r="E8" s="2" t="n"/>
      <c r="F8" s="3" t="n"/>
    </row>
    <row r="9">
      <c r="A9" s="6" t="inlineStr">
        <is>
          <t>Гонорары артистам</t>
        </is>
      </c>
      <c r="B9" s="10">
        <f>B5*'Входные данные'!B16</f>
        <v/>
      </c>
      <c r="C9" s="10">
        <f>C5*'Входные данные'!B16</f>
        <v/>
      </c>
      <c r="D9" s="10">
        <f>D5*'Входные данные'!B16</f>
        <v/>
      </c>
      <c r="E9" s="10">
        <f>E5*'Входные данные'!B16</f>
        <v/>
      </c>
      <c r="F9" s="14">
        <f>'Входные данные'!B16</f>
        <v/>
      </c>
    </row>
    <row r="10">
      <c r="A10" s="6" t="inlineStr">
        <is>
          <t>Аренда зала</t>
        </is>
      </c>
      <c r="B10" s="10">
        <f>B5*'Входные данные'!B17</f>
        <v/>
      </c>
      <c r="C10" s="10">
        <f>C5*'Входные данные'!B17</f>
        <v/>
      </c>
      <c r="D10" s="10">
        <f>D5*'Входные данные'!B17</f>
        <v/>
      </c>
      <c r="E10" s="10">
        <f>E5*'Входные данные'!B17</f>
        <v/>
      </c>
      <c r="F10" s="14">
        <f>'Входные данные'!B17</f>
        <v/>
      </c>
    </row>
    <row r="11">
      <c r="A11" s="6" t="inlineStr">
        <is>
          <t>Ticketscloud</t>
        </is>
      </c>
      <c r="B11" s="10">
        <f>B5*'Входные данные'!B18</f>
        <v/>
      </c>
      <c r="C11" s="10">
        <f>C5*'Входные данные'!B18</f>
        <v/>
      </c>
      <c r="D11" s="10">
        <f>D5*'Входные данные'!B18</f>
        <v/>
      </c>
      <c r="E11" s="10">
        <f>E5*'Входные данные'!B18</f>
        <v/>
      </c>
      <c r="F11" s="14">
        <f>'Входные данные'!B18</f>
        <v/>
      </c>
    </row>
    <row r="12">
      <c r="A12" s="6" t="inlineStr">
        <is>
          <t>Прочие расходы</t>
        </is>
      </c>
      <c r="B12" s="10">
        <f>B5*'Входные данные'!B19</f>
        <v/>
      </c>
      <c r="C12" s="10">
        <f>C5*'Входные данные'!B19</f>
        <v/>
      </c>
      <c r="D12" s="10">
        <f>D5*'Входные данные'!B19</f>
        <v/>
      </c>
      <c r="E12" s="10">
        <f>E5*'Входные данные'!B19</f>
        <v/>
      </c>
      <c r="F12" s="14">
        <f>'Входные данные'!B19</f>
        <v/>
      </c>
    </row>
    <row r="13">
      <c r="A13" s="6" t="inlineStr">
        <is>
          <t>Налог (УСН 6%)</t>
        </is>
      </c>
      <c r="B13" s="10">
        <f>B5*'Входные данные'!B20</f>
        <v/>
      </c>
      <c r="C13" s="10">
        <f>C5*'Входные данные'!B20</f>
        <v/>
      </c>
      <c r="D13" s="10">
        <f>D5*'Входные данные'!B20</f>
        <v/>
      </c>
      <c r="E13" s="10">
        <f>E5*'Входные данные'!B20</f>
        <v/>
      </c>
      <c r="F13" s="14">
        <f>'Входные данные'!B20</f>
        <v/>
      </c>
    </row>
    <row r="14">
      <c r="A14" s="5" t="inlineStr">
        <is>
          <t>УПРАВЛЕНЧЕСКАЯ КОМАНДА</t>
        </is>
      </c>
      <c r="B14" s="2" t="n"/>
      <c r="C14" s="2" t="n"/>
      <c r="D14" s="2" t="n"/>
      <c r="E14" s="2" t="n"/>
      <c r="F14" s="3" t="n"/>
    </row>
    <row r="15">
      <c r="A15" s="6" t="inlineStr">
        <is>
          <t>Команда (7 чел. × 25 000), руб./мес.</t>
        </is>
      </c>
      <c r="B15" s="10">
        <f>'Входные данные'!B31</f>
        <v/>
      </c>
      <c r="C15" s="10">
        <f>'Входные данные'!B30*4</f>
        <v/>
      </c>
      <c r="D15" s="10">
        <f>'Входные данные'!B31</f>
        <v/>
      </c>
      <c r="E15" s="10">
        <f>'Входные данные'!B30</f>
        <v/>
      </c>
      <c r="F15" s="15" t="inlineStr"/>
    </row>
    <row r="16">
      <c r="A16" s="12" t="inlineStr">
        <is>
          <t>ИТОГО ЗАТРАТЫ</t>
        </is>
      </c>
      <c r="B16" s="16">
        <f>SUM(B9:B13)+B15</f>
        <v/>
      </c>
      <c r="C16" s="16">
        <f>SUM(C9:C13)+C15</f>
        <v/>
      </c>
      <c r="D16" s="16">
        <f>SUM(D9:D13)+D15</f>
        <v/>
      </c>
      <c r="E16" s="16">
        <f>SUM(E9:E13)+E15</f>
        <v/>
      </c>
      <c r="F16" s="17">
        <f>B16/B5</f>
        <v/>
      </c>
    </row>
    <row r="17">
      <c r="A17" s="5" t="inlineStr">
        <is>
          <t>ЧИСТАЯ ПРИБЫЛЬ</t>
        </is>
      </c>
      <c r="B17" s="2" t="n"/>
      <c r="C17" s="2" t="n"/>
      <c r="D17" s="2" t="n"/>
      <c r="E17" s="2" t="n"/>
      <c r="F17" s="3" t="n"/>
    </row>
    <row r="18">
      <c r="A18" s="12" t="inlineStr">
        <is>
          <t>Чистая прибыль, руб.</t>
        </is>
      </c>
      <c r="B18" s="18">
        <f>B5-B16</f>
        <v/>
      </c>
      <c r="C18" s="18">
        <f>C5-C16</f>
        <v/>
      </c>
      <c r="D18" s="18">
        <f>D5-D16</f>
        <v/>
      </c>
      <c r="E18" s="18">
        <f>E5-E16</f>
        <v/>
      </c>
      <c r="F18" s="19">
        <f>B18/B5</f>
        <v/>
      </c>
    </row>
    <row r="19">
      <c r="A19" s="6" t="inlineStr">
        <is>
          <t>Рентабельность, %</t>
        </is>
      </c>
      <c r="B19" s="14">
        <f>B18/B5</f>
        <v/>
      </c>
      <c r="C19" s="14">
        <f>C18/C5</f>
        <v/>
      </c>
      <c r="D19" s="14">
        <f>D18/D5</f>
        <v/>
      </c>
      <c r="E19" s="14">
        <f>E18/E5</f>
        <v/>
      </c>
    </row>
  </sheetData>
  <mergeCells count="5">
    <mergeCell ref="A14:F14"/>
    <mergeCell ref="A1:F1"/>
    <mergeCell ref="A8:F8"/>
    <mergeCell ref="A17:F17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1" t="inlineStr">
        <is>
          <t>УПРАВЛЕНЧЕСКАЯ КОМАНДА</t>
        </is>
      </c>
      <c r="B1" s="2" t="n"/>
      <c r="C1" s="3" t="n"/>
    </row>
    <row r="2">
      <c r="A2" s="4" t="inlineStr">
        <is>
          <t>Должность</t>
        </is>
      </c>
      <c r="B2" s="4" t="inlineStr">
        <is>
          <t>Ставка, руб./мес.</t>
        </is>
      </c>
      <c r="C2" s="4" t="inlineStr">
        <is>
          <t>Год, руб.</t>
        </is>
      </c>
    </row>
    <row r="3">
      <c r="A3" s="20" t="inlineStr">
        <is>
          <t>Руководитель</t>
        </is>
      </c>
      <c r="B3" s="10">
        <f>'Входные данные'!B23</f>
        <v/>
      </c>
      <c r="C3" s="10">
        <f>B3*12</f>
        <v/>
      </c>
    </row>
    <row r="4">
      <c r="A4" s="20" t="inlineStr">
        <is>
          <t>Менеджер выездных мероприятий</t>
        </is>
      </c>
      <c r="B4" s="10">
        <f>'Входные данные'!B24</f>
        <v/>
      </c>
      <c r="C4" s="10">
        <f>B4*12</f>
        <v/>
      </c>
    </row>
    <row r="5">
      <c r="A5" s="20" t="inlineStr">
        <is>
          <t>SMM-специалист</t>
        </is>
      </c>
      <c r="B5" s="10">
        <f>'Входные данные'!B25</f>
        <v/>
      </c>
      <c r="C5" s="10">
        <f>B5*12</f>
        <v/>
      </c>
    </row>
    <row r="6">
      <c r="A6" s="20" t="inlineStr">
        <is>
          <t>Концертный директор</t>
        </is>
      </c>
      <c r="B6" s="10">
        <f>'Входные данные'!B26</f>
        <v/>
      </c>
      <c r="C6" s="10">
        <f>B6*12</f>
        <v/>
      </c>
    </row>
    <row r="7">
      <c r="A7" s="20" t="inlineStr">
        <is>
          <t>Куратор концертов</t>
        </is>
      </c>
      <c r="B7" s="10">
        <f>'Входные данные'!B27</f>
        <v/>
      </c>
      <c r="C7" s="10">
        <f>B7*12</f>
        <v/>
      </c>
    </row>
    <row r="8">
      <c r="A8" s="20" t="inlineStr">
        <is>
          <t>Специалист по сайту</t>
        </is>
      </c>
      <c r="B8" s="10">
        <f>'Входные данные'!B28</f>
        <v/>
      </c>
      <c r="C8" s="10">
        <f>B8*12</f>
        <v/>
      </c>
    </row>
    <row r="9">
      <c r="A9" s="20" t="inlineStr">
        <is>
          <t>Координатор программ</t>
        </is>
      </c>
      <c r="B9" s="10">
        <f>'Входные данные'!B29</f>
        <v/>
      </c>
      <c r="C9" s="10">
        <f>B9*12</f>
        <v/>
      </c>
    </row>
    <row r="10">
      <c r="A10" s="12" t="inlineStr">
        <is>
          <t>ИТОГО в месяц</t>
        </is>
      </c>
      <c r="B10" s="16">
        <f>SUM(B3:B9)</f>
        <v/>
      </c>
      <c r="C10" s="16">
        <f>SUM(C3:C9)</f>
        <v/>
      </c>
    </row>
    <row r="11">
      <c r="A11" s="21" t="inlineStr">
        <is>
          <t>Проверка (из Входных данных)</t>
        </is>
      </c>
      <c r="B11" s="22">
        <f>'Входные данные'!B30</f>
        <v/>
      </c>
      <c r="C11" s="22">
        <f>'Входные данные'!B31</f>
        <v/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8" customWidth="1" min="3" max="3"/>
  </cols>
  <sheetData>
    <row r="1">
      <c r="A1" s="1" t="inlineStr">
        <is>
          <t>ТОЧКА БЕЗУБЫТОЧНОСТИ</t>
        </is>
      </c>
      <c r="B1" s="2" t="n"/>
      <c r="C1" s="3" t="n"/>
    </row>
    <row r="2">
      <c r="A2" s="4" t="inlineStr">
        <is>
          <t>Параметр</t>
        </is>
      </c>
      <c r="B2" s="3" t="n"/>
      <c r="C2" s="4" t="inlineStr">
        <is>
          <t>Значение / формула</t>
        </is>
      </c>
    </row>
    <row r="3">
      <c r="A3" s="23" t="inlineStr">
        <is>
          <t>Вместимость зала, мест</t>
        </is>
      </c>
      <c r="B3" s="3" t="n"/>
      <c r="C3" s="10">
        <f>'Входные данные'!B10</f>
        <v/>
      </c>
    </row>
    <row r="4">
      <c r="A4" s="23" t="inlineStr">
        <is>
          <t>Средний билет, руб.</t>
        </is>
      </c>
      <c r="B4" s="3" t="n"/>
      <c r="C4" s="10">
        <f>'Входные данные'!B11</f>
        <v/>
      </c>
    </row>
    <row r="5">
      <c r="A5" s="23" t="inlineStr">
        <is>
          <t>Заполняемость, %</t>
        </is>
      </c>
      <c r="B5" s="3" t="n"/>
      <c r="C5" s="24">
        <f>'Входные данные'!B12</f>
        <v/>
      </c>
    </row>
    <row r="6">
      <c r="A6" s="23" t="inlineStr">
        <is>
          <t>Выручка с концерта (75%), руб.</t>
        </is>
      </c>
      <c r="B6" s="3" t="n"/>
      <c r="C6" s="10">
        <f>B3*B4*B5</f>
        <v/>
      </c>
    </row>
    <row r="7">
      <c r="A7" s="23" t="inlineStr">
        <is>
          <t>Переменные затраты (70,7%), %</t>
        </is>
      </c>
      <c r="B7" s="3" t="n"/>
      <c r="C7" s="14">
        <f>'Входные данные'!B16+'Входные данные'!B17+'Входные данные'!B18+'Входные данные'!B19</f>
        <v/>
      </c>
    </row>
    <row r="8">
      <c r="A8" s="23" t="inlineStr">
        <is>
          <t>Переменные затраты, руб./концерт</t>
        </is>
      </c>
      <c r="B8" s="3" t="n"/>
      <c r="C8" s="10">
        <f>B7*B6</f>
        <v/>
      </c>
    </row>
    <row r="9">
      <c r="A9" s="23" t="inlineStr">
        <is>
          <t>Маржинальная прибыль, руб./концерт</t>
        </is>
      </c>
      <c r="B9" s="3" t="n"/>
      <c r="C9" s="10">
        <f>B6-B8</f>
        <v/>
      </c>
    </row>
    <row r="10">
      <c r="A10" s="23" t="inlineStr">
        <is>
          <t>Пост. затраты: налог+адм., руб./мес.</t>
        </is>
      </c>
      <c r="B10" s="3" t="n"/>
      <c r="C10" s="7" t="n">
        <v>200000</v>
      </c>
    </row>
    <row r="11">
      <c r="A11" s="23" t="inlineStr">
        <is>
          <t>Пост. затраты: команда, руб./мес.</t>
        </is>
      </c>
      <c r="B11" s="3" t="n"/>
      <c r="C11" s="10">
        <f>'Входные данные'!B30</f>
        <v/>
      </c>
    </row>
    <row r="12">
      <c r="A12" s="23" t="inlineStr">
        <is>
          <t>ИТОГО постоянные затраты, руб./мес.</t>
        </is>
      </c>
      <c r="B12" s="3" t="n"/>
      <c r="C12" s="10">
        <f>B10+B11</f>
        <v/>
      </c>
    </row>
    <row r="13">
      <c r="A13" s="23" t="inlineStr">
        <is>
          <t>ТБУ (концертов/мес.)</t>
        </is>
      </c>
      <c r="B13" s="3" t="n"/>
      <c r="C13" s="25">
        <f>B12/B9</f>
        <v/>
      </c>
    </row>
    <row r="14">
      <c r="A14" s="23" t="inlineStr">
        <is>
          <t>Фактически концертов/мес. (2025)</t>
        </is>
      </c>
      <c r="B14" s="3" t="n"/>
      <c r="C14" s="25">
        <f>'Входные данные'!B7/12</f>
        <v/>
      </c>
    </row>
    <row r="15">
      <c r="A15" s="23" t="inlineStr">
        <is>
          <t>Запас прочности (концертов/мес.)</t>
        </is>
      </c>
      <c r="B15" s="3" t="n"/>
      <c r="C15" s="25">
        <f>B14-B13</f>
        <v/>
      </c>
    </row>
  </sheetData>
  <mergeCells count="15">
    <mergeCell ref="A4:B4"/>
    <mergeCell ref="A2:B2"/>
    <mergeCell ref="A15:B15"/>
    <mergeCell ref="A7:B7"/>
    <mergeCell ref="A1:C1"/>
    <mergeCell ref="A11:B11"/>
    <mergeCell ref="A10:B10"/>
    <mergeCell ref="A5:B5"/>
    <mergeCell ref="A13:B13"/>
    <mergeCell ref="A14:B14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8" customWidth="1" min="4" max="4"/>
    <col width="18" customWidth="1" min="5" max="5"/>
  </cols>
  <sheetData>
    <row r="1">
      <c r="A1" s="1" t="inlineStr">
        <is>
          <t>ОПТИМИЗАЦИЯ ЗАТРАТ</t>
        </is>
      </c>
      <c r="B1" s="2" t="n"/>
      <c r="C1" s="2" t="n"/>
      <c r="D1" s="2" t="n"/>
      <c r="E1" s="3" t="n"/>
    </row>
    <row r="2">
      <c r="A2" s="4" t="inlineStr">
        <is>
          <t>Статья</t>
        </is>
      </c>
      <c r="B2" s="4" t="inlineStr">
        <is>
          <t>Текущий %</t>
        </is>
      </c>
      <c r="C2" s="4" t="inlineStr">
        <is>
          <t>Целевой %</t>
        </is>
      </c>
      <c r="D2" s="4" t="inlineStr">
        <is>
          <t>Экономия (ноябрь)</t>
        </is>
      </c>
      <c r="E2" s="4" t="inlineStr">
        <is>
          <t>Годовая экономия</t>
        </is>
      </c>
    </row>
    <row r="3">
      <c r="A3" s="20" t="inlineStr">
        <is>
          <t>Гонорары артистам</t>
        </is>
      </c>
      <c r="B3" s="14">
        <f>'Входные данные'!B16</f>
        <v/>
      </c>
      <c r="C3" s="11" t="n">
        <v>0.39</v>
      </c>
      <c r="D3" s="10">
        <f>('Входные данные'!B16-C3)*'Входные данные'!B6</f>
        <v/>
      </c>
      <c r="E3" s="10">
        <f>D3/'Входные данные'!B6*'P&amp;L Анализ'!B5</f>
        <v/>
      </c>
    </row>
    <row r="4">
      <c r="A4" s="20" t="inlineStr">
        <is>
          <t>Аренда зала</t>
        </is>
      </c>
      <c r="B4" s="14">
        <f>'Входные данные'!B17</f>
        <v/>
      </c>
      <c r="C4" s="11" t="n">
        <v>0.14</v>
      </c>
      <c r="D4" s="10">
        <f>('Входные данные'!B17-C4)*'Входные данные'!B6</f>
        <v/>
      </c>
      <c r="E4" s="10">
        <f>D4/'Входные данные'!B6*'P&amp;L Анализ'!B5</f>
        <v/>
      </c>
    </row>
    <row r="5">
      <c r="A5" s="20" t="inlineStr">
        <is>
          <t>Ticketscloud</t>
        </is>
      </c>
      <c r="B5" s="14">
        <f>'Входные данные'!B18</f>
        <v/>
      </c>
      <c r="C5" s="11" t="n">
        <v>0.06</v>
      </c>
      <c r="D5" s="10">
        <f>('Входные данные'!B18-C5)*'Входные данные'!B6</f>
        <v/>
      </c>
      <c r="E5" s="10">
        <f>D5/'Входные данные'!B6*'P&amp;L Анализ'!B5</f>
        <v/>
      </c>
    </row>
    <row r="6">
      <c r="A6" s="20" t="inlineStr">
        <is>
          <t>Прочие расходы</t>
        </is>
      </c>
      <c r="B6" s="14">
        <f>'Входные данные'!B19</f>
        <v/>
      </c>
      <c r="C6" s="11" t="n">
        <v>0.02</v>
      </c>
      <c r="D6" s="10">
        <f>('Входные данные'!B19-C6)*'Входные данные'!B6</f>
        <v/>
      </c>
      <c r="E6" s="10">
        <f>D6/'Входные данные'!B6*'P&amp;L Анализ'!B5</f>
        <v/>
      </c>
    </row>
    <row r="7">
      <c r="A7" s="12" t="inlineStr">
        <is>
          <t>ИТОГО экономия</t>
        </is>
      </c>
      <c r="B7" s="15" t="inlineStr"/>
      <c r="C7" s="15" t="inlineStr"/>
      <c r="D7" s="16">
        <f>SUM(D3:D6)</f>
        <v/>
      </c>
      <c r="E7" s="16">
        <f>SUM(E3:E6)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2026-06-06T16:08:55Z</dcterms:created>
  <dcterms:modified xmlns:dcterms="http://purl.org/dc/terms/" xmlns:xsi="http://www.w3.org/2001/XMLSchema-instance" xsi:type="dcterms:W3CDTF">2026-06-06T16:08:55Z</dcterms:modified>
</cp:coreProperties>
</file>