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Финансовая модель" sheetId="1" state="visible" r:id="rId1"/>
    <sheet xmlns:r="http://schemas.openxmlformats.org/officeDocument/2006/relationships" name="2. Экономика концерта" sheetId="2" state="visible" r:id="rId2"/>
    <sheet xmlns:r="http://schemas.openxmlformats.org/officeDocument/2006/relationships" name="3. Прайс и рентабельность" sheetId="3" state="visible" r:id="rId3"/>
    <sheet xmlns:r="http://schemas.openxmlformats.org/officeDocument/2006/relationships" name="4. Калькулятор «что если»" sheetId="4" state="visible" r:id="rId4"/>
    <sheet xmlns:r="http://schemas.openxmlformats.org/officeDocument/2006/relationships" name="5. Сезонность 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 ##0"/>
    <numFmt numFmtId="165" formatCode="0.0%"/>
    <numFmt numFmtId="166" formatCode="+0%;-0%"/>
    <numFmt numFmtId="167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595959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006400"/>
      <sz val="11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color rgb="00006400"/>
      <sz val="11"/>
    </font>
  </fonts>
  <fills count="14">
    <fill>
      <patternFill/>
    </fill>
    <fill>
      <patternFill patternType="gray125"/>
    </fill>
    <fill>
      <patternFill patternType="solid">
        <fgColor rgb="005B2D8E"/>
      </patternFill>
    </fill>
    <fill>
      <patternFill patternType="solid">
        <fgColor rgb="00E8DCFF"/>
      </patternFill>
    </fill>
    <fill>
      <patternFill patternType="solid">
        <fgColor rgb="002E4F8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CE8FF"/>
      </patternFill>
    </fill>
    <fill>
      <patternFill patternType="solid">
        <fgColor rgb="008B0000"/>
      </patternFill>
    </fill>
    <fill>
      <patternFill patternType="solid">
        <fgColor rgb="00F0F0F0"/>
      </patternFill>
    </fill>
    <fill>
      <patternFill patternType="solid">
        <fgColor rgb="00FFD7D7"/>
      </patternFill>
    </fill>
    <fill>
      <patternFill patternType="solid">
        <fgColor rgb="00D9EAD3"/>
      </patternFill>
    </fill>
    <fill>
      <patternFill patternType="solid">
        <fgColor rgb="0021734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left" vertical="center"/>
    </xf>
    <xf numFmtId="164" fontId="7" fillId="11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5" fontId="6" fillId="5" borderId="1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right" vertical="center"/>
    </xf>
    <xf numFmtId="166" fontId="6" fillId="11" borderId="1" applyAlignment="1" pivotButton="0" quotePrefix="0" xfId="0">
      <alignment horizontal="right" vertical="center"/>
    </xf>
    <xf numFmtId="0" fontId="2" fillId="6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9" fontId="5" fillId="6" borderId="1" applyAlignment="1" pivotButton="0" quotePrefix="0" xfId="0">
      <alignment horizontal="right" vertical="center"/>
    </xf>
    <xf numFmtId="1" fontId="5" fillId="3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right" vertical="center"/>
    </xf>
    <xf numFmtId="0" fontId="3" fillId="12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left" vertical="center"/>
    </xf>
    <xf numFmtId="164" fontId="5" fillId="13" borderId="1" applyAlignment="1" pivotButton="0" quotePrefix="0" xfId="0">
      <alignment horizontal="right" vertical="center"/>
    </xf>
    <xf numFmtId="1" fontId="6" fillId="3" borderId="1" applyAlignment="1" pivotButton="0" quotePrefix="0" xfId="0">
      <alignment horizontal="right" vertical="center"/>
    </xf>
    <xf numFmtId="164" fontId="10" fillId="11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5" customHeight="1">
      <c r="A1" s="1" t="inlineStr">
        <is>
          <t>ФИНАНСОВАЯ МОДЕЛЬ «MOZART FOR KIDS» 2025–2027 — все расчёты по формулам</t>
        </is>
      </c>
    </row>
    <row r="2" ht="20" customHeight="1">
      <c r="A2" s="2" t="inlineStr">
        <is>
          <t>Жёлтые ячейки = вводные данные (редактируйте). Белые/зелёные = формулы (пересчитываются автоматически)</t>
        </is>
      </c>
    </row>
    <row r="3" ht="22" customHeight="1">
      <c r="A3" s="3" t="inlineStr">
        <is>
          <t>ДОХОДЫ (руб./год)</t>
        </is>
      </c>
    </row>
    <row r="4" ht="42" customHeight="1">
      <c r="A4" s="4" t="inlineStr">
        <is>
          <t>Источник дохода</t>
        </is>
      </c>
      <c r="B4" s="4" t="inlineStr">
        <is>
          <t>Факт
2025</t>
        </is>
      </c>
      <c r="C4" s="4" t="inlineStr">
        <is>
          <t>Факт
янв–апр
2026</t>
        </is>
      </c>
      <c r="D4" s="4" t="inlineStr">
        <is>
          <t>Пессим.
2026</t>
        </is>
      </c>
      <c r="E4" s="4" t="inlineStr">
        <is>
          <t>Базов.
2026</t>
        </is>
      </c>
      <c r="F4" s="4" t="inlineStr">
        <is>
          <t>Оптим.
2026</t>
        </is>
      </c>
      <c r="G4" s="4" t="inlineStr">
        <is>
          <t>Пессим.
2027</t>
        </is>
      </c>
      <c r="H4" s="4" t="inlineStr">
        <is>
          <t>Базов.
2027</t>
        </is>
      </c>
      <c r="I4" s="4" t="inlineStr">
        <is>
          <t>Оптим.
2027</t>
        </is>
      </c>
    </row>
    <row r="5">
      <c r="A5" s="5" t="inlineStr">
        <is>
          <t>Продажа билетов (собств. концерты)</t>
        </is>
      </c>
      <c r="B5" s="6" t="n">
        <v>3500000</v>
      </c>
      <c r="C5" s="6" t="n">
        <v>1800000</v>
      </c>
      <c r="D5" s="6" t="n">
        <v>3200000</v>
      </c>
      <c r="E5" s="6" t="n">
        <v>4500000</v>
      </c>
      <c r="F5" s="6" t="n">
        <v>6000000</v>
      </c>
      <c r="G5" s="6" t="n">
        <v>4500000</v>
      </c>
      <c r="H5" s="6" t="n">
        <v>6500000</v>
      </c>
      <c r="I5" s="6" t="n">
        <v>9000000</v>
      </c>
    </row>
    <row r="6">
      <c r="A6" s="5" t="inlineStr">
        <is>
          <t>Партнёрские мероприятия (Сег. B)</t>
        </is>
      </c>
      <c r="B6" s="6" t="n">
        <v>2527694</v>
      </c>
      <c r="C6" s="6" t="n">
        <v>1500000</v>
      </c>
      <c r="D6" s="6" t="n">
        <v>2500000</v>
      </c>
      <c r="E6" s="6" t="n">
        <v>3800000</v>
      </c>
      <c r="F6" s="6" t="n">
        <v>5500000</v>
      </c>
      <c r="G6" s="6" t="n">
        <v>4000000</v>
      </c>
      <c r="H6" s="6" t="n">
        <v>5500000</v>
      </c>
      <c r="I6" s="6" t="n">
        <v>8000000</v>
      </c>
    </row>
    <row r="7">
      <c r="A7" s="5" t="inlineStr">
        <is>
          <t>Крупные партнёры (Сег. A)</t>
        </is>
      </c>
      <c r="B7" s="6" t="n">
        <v>14568041</v>
      </c>
      <c r="C7" s="6" t="n">
        <v>2000000</v>
      </c>
      <c r="D7" s="6" t="n">
        <v>1500000</v>
      </c>
      <c r="E7" s="6" t="n">
        <v>3000000</v>
      </c>
      <c r="F7" s="6" t="n">
        <v>5000000</v>
      </c>
      <c r="G7" s="6" t="n">
        <v>3000000</v>
      </c>
      <c r="H7" s="6" t="n">
        <v>4000000</v>
      </c>
      <c r="I7" s="6" t="n">
        <v>6000000</v>
      </c>
    </row>
    <row r="8">
      <c r="A8" s="5" t="inlineStr">
        <is>
          <t>Корпоративные B2B заказы</t>
        </is>
      </c>
      <c r="B8" s="6" t="n">
        <v>500000</v>
      </c>
      <c r="C8" s="6" t="n">
        <v>300000</v>
      </c>
      <c r="D8" s="6" t="n">
        <v>600000</v>
      </c>
      <c r="E8" s="6" t="n">
        <v>1350000</v>
      </c>
      <c r="F8" s="6" t="n">
        <v>3000000</v>
      </c>
      <c r="G8" s="6" t="n">
        <v>2000000</v>
      </c>
      <c r="H8" s="6" t="n">
        <v>4000000</v>
      </c>
      <c r="I8" s="6" t="n">
        <v>7000000</v>
      </c>
    </row>
    <row r="9">
      <c r="A9" s="5" t="inlineStr">
        <is>
          <t>Партнёрский прайс (3+ концертов)</t>
        </is>
      </c>
      <c r="B9" s="6" t="n">
        <v>0</v>
      </c>
      <c r="C9" s="6" t="n">
        <v>269274</v>
      </c>
      <c r="D9" s="6" t="n">
        <v>500000</v>
      </c>
      <c r="E9" s="6" t="n">
        <v>1500000</v>
      </c>
      <c r="F9" s="6" t="n">
        <v>3000000</v>
      </c>
      <c r="G9" s="6" t="n">
        <v>1500000</v>
      </c>
      <c r="H9" s="6" t="n">
        <v>3000000</v>
      </c>
      <c r="I9" s="6" t="n">
        <v>5000000</v>
      </c>
    </row>
    <row r="10">
      <c r="A10" s="5" t="inlineStr">
        <is>
          <t>Абонементная модель «Клуб Mozart»</t>
        </is>
      </c>
      <c r="B10" s="6" t="n">
        <v>0</v>
      </c>
      <c r="C10" s="6" t="n">
        <v>0</v>
      </c>
      <c r="D10" s="6" t="n">
        <v>0</v>
      </c>
      <c r="E10" s="6" t="n">
        <v>1500000</v>
      </c>
      <c r="F10" s="6" t="n">
        <v>3750000</v>
      </c>
      <c r="G10" s="6" t="n">
        <v>1000000</v>
      </c>
      <c r="H10" s="6" t="n">
        <v>3000000</v>
      </c>
      <c r="I10" s="6" t="n">
        <v>5000000</v>
      </c>
    </row>
    <row r="11">
      <c r="A11" s="5" t="inlineStr">
        <is>
          <t>Летний фестиваль (июль)</t>
        </is>
      </c>
      <c r="B11" s="6" t="n">
        <v>0</v>
      </c>
      <c r="C11" s="6" t="n">
        <v>0</v>
      </c>
      <c r="D11" s="6" t="n">
        <v>500000</v>
      </c>
      <c r="E11" s="6" t="n">
        <v>1650000</v>
      </c>
      <c r="F11" s="6" t="n">
        <v>3500000</v>
      </c>
      <c r="G11" s="6" t="n">
        <v>500000</v>
      </c>
      <c r="H11" s="6" t="n">
        <v>2500000</v>
      </c>
      <c r="I11" s="6" t="n">
        <v>5000000</v>
      </c>
    </row>
    <row r="12">
      <c r="A12" s="5" t="inlineStr">
        <is>
          <t>Mozart for adults (18+)</t>
        </is>
      </c>
      <c r="B12" s="6" t="n">
        <v>200000</v>
      </c>
      <c r="C12" s="6" t="n">
        <v>100000</v>
      </c>
      <c r="D12" s="6" t="n">
        <v>300000</v>
      </c>
      <c r="E12" s="6" t="n">
        <v>600000</v>
      </c>
      <c r="F12" s="6" t="n">
        <v>1200000</v>
      </c>
      <c r="G12" s="6" t="n">
        <v>600000</v>
      </c>
      <c r="H12" s="6" t="n">
        <v>1200000</v>
      </c>
      <c r="I12" s="6" t="n">
        <v>2500000</v>
      </c>
    </row>
    <row r="13">
      <c r="A13" s="5" t="inlineStr">
        <is>
          <t>«Звуки бизнеса» (конференции)</t>
        </is>
      </c>
      <c r="B13" s="6" t="n">
        <v>100000</v>
      </c>
      <c r="C13" s="6" t="n">
        <v>50000</v>
      </c>
      <c r="D13" s="6" t="n">
        <v>150000</v>
      </c>
      <c r="E13" s="6" t="n">
        <v>400000</v>
      </c>
      <c r="F13" s="6" t="n">
        <v>800000</v>
      </c>
      <c r="G13" s="6" t="n">
        <v>300000</v>
      </c>
      <c r="H13" s="6" t="n">
        <v>800000</v>
      </c>
      <c r="I13" s="6" t="n">
        <v>1500000</v>
      </c>
    </row>
    <row r="14">
      <c r="A14" s="5" t="inlineStr">
        <is>
          <t>Цифровые продукты / Boosty</t>
        </is>
      </c>
      <c r="B14" s="6" t="n">
        <v>0</v>
      </c>
      <c r="C14" s="6" t="n">
        <v>0</v>
      </c>
      <c r="D14" s="6" t="n">
        <v>100000</v>
      </c>
      <c r="E14" s="6" t="n">
        <v>400000</v>
      </c>
      <c r="F14" s="6" t="n">
        <v>800000</v>
      </c>
      <c r="G14" s="6" t="n">
        <v>300000</v>
      </c>
      <c r="H14" s="6" t="n">
        <v>800000</v>
      </c>
      <c r="I14" s="6" t="n">
        <v>1500000</v>
      </c>
    </row>
    <row r="15">
      <c r="A15" s="5" t="inlineStr">
        <is>
          <t>Прочие (мерч, спонсоры)</t>
        </is>
      </c>
      <c r="B15" s="6" t="n">
        <v>305466</v>
      </c>
      <c r="C15" s="6" t="n">
        <v>50000</v>
      </c>
      <c r="D15" s="6" t="n">
        <v>150000</v>
      </c>
      <c r="E15" s="6" t="n">
        <v>300000</v>
      </c>
      <c r="F15" s="6" t="n">
        <v>700000</v>
      </c>
      <c r="G15" s="6" t="n">
        <v>400000</v>
      </c>
      <c r="H15" s="6" t="n">
        <v>700000</v>
      </c>
      <c r="I15" s="6" t="n">
        <v>1200000</v>
      </c>
    </row>
    <row r="16" ht="20" customHeight="1">
      <c r="A16" s="7" t="inlineStr">
        <is>
          <t>ИТОГО ДОХОДЫ</t>
        </is>
      </c>
      <c r="B16" s="8">
        <f>SUM(B5:B15)</f>
        <v/>
      </c>
      <c r="C16" s="8">
        <f>SUM(C5:C15)</f>
        <v/>
      </c>
      <c r="D16" s="8">
        <f>SUM(D5:D15)</f>
        <v/>
      </c>
      <c r="E16" s="8">
        <f>SUM(E5:E15)</f>
        <v/>
      </c>
      <c r="F16" s="8">
        <f>SUM(F5:F15)</f>
        <v/>
      </c>
      <c r="G16" s="8">
        <f>SUM(G5:G15)</f>
        <v/>
      </c>
      <c r="H16" s="8">
        <f>SUM(H5:H15)</f>
        <v/>
      </c>
      <c r="I16" s="8">
        <f>SUM(I5:I15)</f>
        <v/>
      </c>
      <c r="J16" s="8">
        <f>SUM(J5:J15)</f>
        <v/>
      </c>
    </row>
    <row r="18" ht="22" customHeight="1">
      <c r="A18" s="9" t="inlineStr">
        <is>
          <t>РАСХОДЫ (руб./год)</t>
        </is>
      </c>
    </row>
    <row r="19" ht="42" customHeight="1">
      <c r="A19" s="10" t="inlineStr">
        <is>
          <t>Источник дохода</t>
        </is>
      </c>
      <c r="B19" s="10" t="inlineStr">
        <is>
          <t>Факт
2025</t>
        </is>
      </c>
      <c r="C19" s="10" t="inlineStr">
        <is>
          <t>Факт
янв–апр
2026</t>
        </is>
      </c>
      <c r="D19" s="10" t="inlineStr">
        <is>
          <t>Пессим.
2026</t>
        </is>
      </c>
      <c r="E19" s="10" t="inlineStr">
        <is>
          <t>Базов.
2026</t>
        </is>
      </c>
      <c r="F19" s="10" t="inlineStr">
        <is>
          <t>Оптим.
2026</t>
        </is>
      </c>
      <c r="G19" s="10" t="inlineStr">
        <is>
          <t>Пессим.
2027</t>
        </is>
      </c>
      <c r="H19" s="10" t="inlineStr">
        <is>
          <t>Базов.
2027</t>
        </is>
      </c>
      <c r="I19" s="10" t="inlineStr">
        <is>
          <t>Оптим.
2027</t>
        </is>
      </c>
    </row>
    <row r="20">
      <c r="A20" s="5" t="inlineStr">
        <is>
          <t>Гонорары артистов</t>
        </is>
      </c>
      <c r="B20" s="6" t="n">
        <v>7740000</v>
      </c>
      <c r="C20" s="11">
        <f>ROUND(B20/12*4,0)</f>
        <v/>
      </c>
      <c r="D20" s="6" t="n">
        <v>6880000</v>
      </c>
      <c r="E20" s="6" t="n">
        <v>9440000</v>
      </c>
      <c r="F20" s="6" t="n">
        <v>12950000</v>
      </c>
      <c r="G20" s="6" t="n">
        <v>9440000</v>
      </c>
      <c r="H20" s="6" t="n">
        <v>12040000</v>
      </c>
      <c r="I20" s="6" t="n">
        <v>19350000</v>
      </c>
    </row>
    <row r="21">
      <c r="A21" s="5" t="inlineStr">
        <is>
          <t>Аренда площадок</t>
        </is>
      </c>
      <c r="B21" s="6" t="n">
        <v>3060000</v>
      </c>
      <c r="C21" s="11">
        <f>ROUND(B21/12*4,0)</f>
        <v/>
      </c>
      <c r="D21" s="6" t="n">
        <v>1700000</v>
      </c>
      <c r="E21" s="6" t="n">
        <v>2380000</v>
      </c>
      <c r="F21" s="6" t="n">
        <v>3910000</v>
      </c>
      <c r="G21" s="6" t="n">
        <v>2100000</v>
      </c>
      <c r="H21" s="6" t="n">
        <v>3395000</v>
      </c>
      <c r="I21" s="6" t="n">
        <v>5610000</v>
      </c>
    </row>
    <row r="22">
      <c r="A22" s="5" t="inlineStr">
        <is>
          <t>ФОТ команды управления (7 чел)</t>
        </is>
      </c>
      <c r="B22" s="6" t="n">
        <v>3360000</v>
      </c>
      <c r="C22" s="11">
        <f>ROUND(B22/12*4,0)</f>
        <v/>
      </c>
      <c r="D22" s="6" t="n">
        <v>3360000</v>
      </c>
      <c r="E22" s="6" t="n">
        <v>3360000</v>
      </c>
      <c r="F22" s="6" t="n">
        <v>3600000</v>
      </c>
      <c r="G22" s="6" t="n">
        <v>3700000</v>
      </c>
      <c r="H22" s="6" t="n">
        <v>4000000</v>
      </c>
      <c r="I22" s="6" t="n">
        <v>4800000</v>
      </c>
    </row>
    <row r="23">
      <c r="A23" s="5" t="inlineStr">
        <is>
          <t>Реклама и маркетинг</t>
        </is>
      </c>
      <c r="B23" s="6" t="n">
        <v>900000</v>
      </c>
      <c r="C23" s="11">
        <f>ROUND(B23/12*4,0)</f>
        <v/>
      </c>
      <c r="D23" s="6" t="n">
        <v>600000</v>
      </c>
      <c r="E23" s="6" t="n">
        <v>900000</v>
      </c>
      <c r="F23" s="6" t="n">
        <v>1400000</v>
      </c>
      <c r="G23" s="6" t="n">
        <v>800000</v>
      </c>
      <c r="H23" s="6" t="n">
        <v>1300000</v>
      </c>
      <c r="I23" s="6" t="n">
        <v>2000000</v>
      </c>
    </row>
    <row r="24">
      <c r="A24" s="5" t="inlineStr">
        <is>
          <t>Реквизит, новые программы</t>
        </is>
      </c>
      <c r="B24" s="6" t="n">
        <v>300000</v>
      </c>
      <c r="C24" s="11">
        <f>ROUND(B24/12*4,0)</f>
        <v/>
      </c>
      <c r="D24" s="6" t="n">
        <v>200000</v>
      </c>
      <c r="E24" s="6" t="n">
        <v>300000</v>
      </c>
      <c r="F24" s="6" t="n">
        <v>500000</v>
      </c>
      <c r="G24" s="6" t="n">
        <v>250000</v>
      </c>
      <c r="H24" s="6" t="n">
        <v>450000</v>
      </c>
      <c r="I24" s="6" t="n">
        <v>700000</v>
      </c>
    </row>
    <row r="25">
      <c r="A25" s="5" t="inlineStr">
        <is>
          <t>Налоги (~3% от доходов)</t>
        </is>
      </c>
      <c r="B25" s="6" t="n">
        <v>540000</v>
      </c>
      <c r="C25" s="11">
        <f>ROUND(B25/12*4,0)</f>
        <v/>
      </c>
      <c r="D25" s="6" t="n">
        <v>384000</v>
      </c>
      <c r="E25" s="6" t="n">
        <v>660000</v>
      </c>
      <c r="F25" s="6" t="n">
        <v>930000</v>
      </c>
      <c r="G25" s="6" t="n">
        <v>450000</v>
      </c>
      <c r="H25" s="6" t="n">
        <v>840000</v>
      </c>
      <c r="I25" s="6" t="n">
        <v>1440000</v>
      </c>
    </row>
    <row r="26">
      <c r="A26" s="5" t="inlineStr">
        <is>
          <t>Административные расходы</t>
        </is>
      </c>
      <c r="B26" s="6" t="n">
        <v>600000</v>
      </c>
      <c r="C26" s="11">
        <f>ROUND(B26/12*4,0)</f>
        <v/>
      </c>
      <c r="D26" s="6" t="n">
        <v>400000</v>
      </c>
      <c r="E26" s="6" t="n">
        <v>500000</v>
      </c>
      <c r="F26" s="6" t="n">
        <v>750000</v>
      </c>
      <c r="G26" s="6" t="n">
        <v>450000</v>
      </c>
      <c r="H26" s="6" t="n">
        <v>650000</v>
      </c>
      <c r="I26" s="6" t="n">
        <v>1000000</v>
      </c>
    </row>
    <row r="27">
      <c r="A27" s="5" t="inlineStr">
        <is>
          <t>CRM и автоматизация</t>
        </is>
      </c>
      <c r="B27" s="6" t="n">
        <v>0</v>
      </c>
      <c r="C27" s="11">
        <f>ROUND(B27/12*4,0)</f>
        <v/>
      </c>
      <c r="D27" s="6" t="n">
        <v>60000</v>
      </c>
      <c r="E27" s="6" t="n">
        <v>60000</v>
      </c>
      <c r="F27" s="6" t="n">
        <v>60000</v>
      </c>
      <c r="G27" s="6" t="n">
        <v>60000</v>
      </c>
      <c r="H27" s="6" t="n">
        <v>60000</v>
      </c>
      <c r="I27" s="6" t="n">
        <v>60000</v>
      </c>
    </row>
    <row r="28">
      <c r="A28" s="5" t="inlineStr">
        <is>
          <t>Производство цифр. продуктов</t>
        </is>
      </c>
      <c r="B28" s="6" t="n">
        <v>0</v>
      </c>
      <c r="C28" s="11">
        <f>ROUND(B28/12*4,0)</f>
        <v/>
      </c>
      <c r="D28" s="6" t="n">
        <v>50000</v>
      </c>
      <c r="E28" s="6" t="n">
        <v>80000</v>
      </c>
      <c r="F28" s="6" t="n">
        <v>100000</v>
      </c>
      <c r="G28" s="6" t="n">
        <v>50000</v>
      </c>
      <c r="H28" s="6" t="n">
        <v>100000</v>
      </c>
      <c r="I28" s="6" t="n">
        <v>150000</v>
      </c>
    </row>
    <row r="29" ht="20" customHeight="1">
      <c r="A29" s="12" t="inlineStr">
        <is>
          <t>ИТОГО РАСХОДЫ</t>
        </is>
      </c>
      <c r="B29" s="13">
        <f>SUM(B20:B28)</f>
        <v/>
      </c>
      <c r="C29" s="13">
        <f>SUM(C20:C28)</f>
        <v/>
      </c>
      <c r="D29" s="13">
        <f>SUM(D20:D28)</f>
        <v/>
      </c>
      <c r="E29" s="13">
        <f>SUM(E20:E28)</f>
        <v/>
      </c>
      <c r="F29" s="13">
        <f>SUM(F20:F28)</f>
        <v/>
      </c>
      <c r="G29" s="13">
        <f>SUM(G20:G28)</f>
        <v/>
      </c>
      <c r="H29" s="13">
        <f>SUM(H20:H28)</f>
        <v/>
      </c>
      <c r="I29" s="13">
        <f>SUM(I20:I28)</f>
        <v/>
      </c>
      <c r="J29" s="13">
        <f>SUM(J20:J28)</f>
        <v/>
      </c>
    </row>
    <row r="31" ht="22" customHeight="1">
      <c r="A31" s="14" t="inlineStr">
        <is>
          <t>ЧИСТАЯ ПРИБЫЛЬ / УБЫТОК</t>
        </is>
      </c>
      <c r="B31" s="15">
        <f>B16-B29</f>
        <v/>
      </c>
      <c r="C31" s="15">
        <f>C16-C29</f>
        <v/>
      </c>
      <c r="D31" s="15">
        <f>D16-D29</f>
        <v/>
      </c>
      <c r="E31" s="15">
        <f>E16-E29</f>
        <v/>
      </c>
      <c r="F31" s="15">
        <f>F16-F29</f>
        <v/>
      </c>
      <c r="G31" s="15">
        <f>G16-G29</f>
        <v/>
      </c>
      <c r="H31" s="15">
        <f>H16-H29</f>
        <v/>
      </c>
      <c r="I31" s="15">
        <f>I16-I29</f>
        <v/>
      </c>
      <c r="J31" s="15">
        <f>J16-J29</f>
        <v/>
      </c>
    </row>
    <row r="32">
      <c r="A32" s="16" t="inlineStr">
        <is>
          <t>МАРЖИНАЛЬНОСТЬ (%)</t>
        </is>
      </c>
      <c r="B32" s="17">
        <f>IFERROR((B16-B29)/B16,0)</f>
        <v/>
      </c>
      <c r="C32" s="17">
        <f>IFERROR((C16-C29)/C16,0)</f>
        <v/>
      </c>
      <c r="D32" s="17">
        <f>IFERROR((D16-D29)/D16,0)</f>
        <v/>
      </c>
      <c r="E32" s="17">
        <f>IFERROR((E16-E29)/E16,0)</f>
        <v/>
      </c>
      <c r="F32" s="17">
        <f>IFERROR((F16-F29)/F16,0)</f>
        <v/>
      </c>
      <c r="G32" s="17">
        <f>IFERROR((G16-G29)/G16,0)</f>
        <v/>
      </c>
      <c r="H32" s="17">
        <f>IFERROR((H16-H29)/H16,0)</f>
        <v/>
      </c>
      <c r="I32" s="17">
        <f>IFERROR((I16-I29)/I16,0)</f>
        <v/>
      </c>
      <c r="J32" s="17">
        <f>IFERROR((J16-J29)/J16,0)</f>
        <v/>
      </c>
    </row>
    <row r="34" ht="22" customHeight="1">
      <c r="A34" s="18" t="inlineStr">
        <is>
          <t>ПРОГНОЗ ПОЛНОГО 2026 ГОДА (аннуализация факта янв–апр)</t>
        </is>
      </c>
    </row>
    <row r="35">
      <c r="A35" s="5" t="inlineStr">
        <is>
          <t>Факт янв–апр 20 (входящие, руб.)</t>
        </is>
      </c>
      <c r="B35" s="6" t="n">
        <v>6069274</v>
      </c>
      <c r="C35" s="19" t="inlineStr">
        <is>
          <t>редактируемое</t>
        </is>
      </c>
    </row>
    <row r="36">
      <c r="A36" s="5" t="inlineStr">
        <is>
          <t>Прогноз года (÷110 дней × 365)</t>
        </is>
      </c>
      <c r="B36" s="20">
        <f>ROUND(B35/110*365,0)</f>
        <v/>
      </c>
    </row>
    <row r="37">
      <c r="A37" s="5" t="inlineStr">
        <is>
          <t>Рост к 2025 полному году</t>
        </is>
      </c>
      <c r="B37" s="21">
        <f>IFERROR(B36/18001161-1,0)</f>
        <v/>
      </c>
    </row>
  </sheetData>
  <mergeCells count="5">
    <mergeCell ref="A1:J1"/>
    <mergeCell ref="A18:J18"/>
    <mergeCell ref="A3:J3"/>
    <mergeCell ref="A34:J3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ЭКОНОМИКА ОДНОГО КОНЦЕРТА — все расчёты по формулам</t>
        </is>
      </c>
    </row>
    <row r="2">
      <c r="A2" s="22" t="inlineStr">
        <is>
          <t>Жёлтые ячейки = меняйте. Остальные пересчитаются автоматически.</t>
        </is>
      </c>
    </row>
    <row r="4" ht="35" customHeight="1">
      <c r="A4" s="23" t="inlineStr">
        <is>
          <t>Показатель</t>
        </is>
      </c>
      <c r="B4" s="23" t="inlineStr">
        <is>
          <t>Дуэт</t>
        </is>
      </c>
      <c r="C4" s="23" t="inlineStr">
        <is>
          <t>Трио (станд.)</t>
        </is>
      </c>
      <c r="D4" s="23" t="inlineStr">
        <is>
          <t>Квартет</t>
        </is>
      </c>
      <c r="E4" s="23" t="inlineStr">
        <is>
          <t>Трио (opt.аренда)</t>
        </is>
      </c>
      <c r="F4" s="23" t="inlineStr">
        <is>
          <t>Трио+18 сем.</t>
        </is>
      </c>
      <c r="G4" s="23" t="inlineStr">
        <is>
          <t>Корп. заказ</t>
        </is>
      </c>
    </row>
    <row r="5">
      <c r="A5" s="24" t="inlineStr">
        <is>
          <t>— ВВОДНЫЕ ПАРАМЕТРЫ —</t>
        </is>
      </c>
    </row>
    <row r="6">
      <c r="A6" s="5" t="inlineStr">
        <is>
          <t>Вместимость (семей)</t>
        </is>
      </c>
      <c r="B6" s="6" t="n">
        <v>14</v>
      </c>
      <c r="C6" s="6" t="n">
        <v>14</v>
      </c>
      <c r="D6" s="6" t="n">
        <v>14</v>
      </c>
      <c r="E6" s="6" t="n">
        <v>14</v>
      </c>
      <c r="F6" s="6" t="n">
        <v>18</v>
      </c>
      <c r="G6" s="6" t="n">
        <v>30</v>
      </c>
    </row>
    <row r="7">
      <c r="A7" s="5" t="inlineStr">
        <is>
          <t>Заполняемость (%)</t>
        </is>
      </c>
      <c r="B7" s="25" t="n">
        <v>0.85</v>
      </c>
      <c r="C7" s="25" t="n">
        <v>0.85</v>
      </c>
      <c r="D7" s="25" t="n">
        <v>0.85</v>
      </c>
      <c r="E7" s="25" t="n">
        <v>0.9</v>
      </c>
      <c r="F7" s="25" t="n">
        <v>0.85</v>
      </c>
      <c r="G7" s="25" t="n">
        <v>1</v>
      </c>
    </row>
    <row r="8">
      <c r="A8" s="5" t="inlineStr">
        <is>
          <t>Средний чек (руб.)</t>
        </is>
      </c>
      <c r="B8" s="6" t="n">
        <v>4000</v>
      </c>
      <c r="C8" s="6" t="n">
        <v>4500</v>
      </c>
      <c r="D8" s="6" t="n">
        <v>5000</v>
      </c>
      <c r="E8" s="6" t="n">
        <v>4500</v>
      </c>
      <c r="F8" s="6" t="n">
        <v>4500</v>
      </c>
      <c r="G8" s="6" t="n">
        <v>0</v>
      </c>
    </row>
    <row r="9">
      <c r="A9" s="5" t="inlineStr">
        <is>
          <t>Цена заказного (руб.)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40000</v>
      </c>
    </row>
    <row r="10">
      <c r="A10" s="5" t="inlineStr">
        <is>
          <t>Кол-во музыкантов</t>
        </is>
      </c>
      <c r="B10" s="6" t="n">
        <v>2</v>
      </c>
      <c r="C10" s="6" t="n">
        <v>3</v>
      </c>
      <c r="D10" s="6" t="n">
        <v>4</v>
      </c>
      <c r="E10" s="6" t="n">
        <v>3</v>
      </c>
      <c r="F10" s="6" t="n">
        <v>3</v>
      </c>
      <c r="G10" s="6" t="n">
        <v>3</v>
      </c>
    </row>
    <row r="11">
      <c r="A11" s="5" t="inlineStr">
        <is>
          <t>Ставка музыканта (руб.)</t>
        </is>
      </c>
      <c r="B11" s="6" t="n">
        <v>4000</v>
      </c>
      <c r="C11" s="6" t="n">
        <v>4000</v>
      </c>
      <c r="D11" s="6" t="n">
        <v>4000</v>
      </c>
      <c r="E11" s="6" t="n">
        <v>4000</v>
      </c>
      <c r="F11" s="6" t="n">
        <v>4000</v>
      </c>
      <c r="G11" s="6" t="n">
        <v>4000</v>
      </c>
    </row>
    <row r="12">
      <c r="A12" s="5" t="inlineStr">
        <is>
          <t>Ставка ведущей (руб.)</t>
        </is>
      </c>
      <c r="B12" s="6" t="n">
        <v>4000</v>
      </c>
      <c r="C12" s="6" t="n">
        <v>4000</v>
      </c>
      <c r="D12" s="6" t="n">
        <v>4000</v>
      </c>
      <c r="E12" s="6" t="n">
        <v>4000</v>
      </c>
      <c r="F12" s="6" t="n">
        <v>4000</v>
      </c>
      <c r="G12" s="6" t="n">
        <v>5000</v>
      </c>
    </row>
    <row r="13">
      <c r="A13" s="5" t="inlineStr">
        <is>
          <t>Ставка администратора (руб.)</t>
        </is>
      </c>
      <c r="B13" s="6" t="n">
        <v>2500</v>
      </c>
      <c r="C13" s="6" t="n">
        <v>2500</v>
      </c>
      <c r="D13" s="6" t="n">
        <v>2500</v>
      </c>
      <c r="E13" s="6" t="n">
        <v>2500</v>
      </c>
      <c r="F13" s="6" t="n">
        <v>2500</v>
      </c>
      <c r="G13" s="6" t="n">
        <v>3000</v>
      </c>
    </row>
    <row r="14">
      <c r="A14" s="5" t="inlineStr">
        <is>
          <t>Аренда площадки (руб.)</t>
        </is>
      </c>
      <c r="B14" s="6" t="n">
        <v>8000</v>
      </c>
      <c r="C14" s="6" t="n">
        <v>8000</v>
      </c>
      <c r="D14" s="6" t="n">
        <v>8000</v>
      </c>
      <c r="E14" s="6" t="n">
        <v>6000</v>
      </c>
      <c r="F14" s="6" t="n">
        <v>9000</v>
      </c>
      <c r="G14" s="6" t="n">
        <v>0</v>
      </c>
    </row>
    <row r="15">
      <c r="A15" s="5" t="inlineStr">
        <is>
          <t>Реквизит и прочее (руб.)</t>
        </is>
      </c>
      <c r="B15" s="6" t="n">
        <v>1000</v>
      </c>
      <c r="C15" s="6" t="n">
        <v>1000</v>
      </c>
      <c r="D15" s="6" t="n">
        <v>1000</v>
      </c>
      <c r="E15" s="6" t="n">
        <v>1000</v>
      </c>
      <c r="F15" s="6" t="n">
        <v>1000</v>
      </c>
      <c r="G15" s="6" t="n">
        <v>2000</v>
      </c>
    </row>
    <row r="17" ht="22" customHeight="1">
      <c r="A17" s="3" t="inlineStr">
        <is>
          <t>— РАСЧЁТНЫЕ ПОКАЗАТЕЛИ (формулы) —</t>
        </is>
      </c>
    </row>
    <row r="18">
      <c r="A18" s="5" t="inlineStr">
        <is>
          <t>Фактически семей</t>
        </is>
      </c>
      <c r="B18" s="26">
        <f>ROUND(B6*B7,0)</f>
        <v/>
      </c>
      <c r="C18" s="26">
        <f>ROUND(C6*C7,0)</f>
        <v/>
      </c>
      <c r="D18" s="26">
        <f>ROUND(D6*D7,0)</f>
        <v/>
      </c>
      <c r="E18" s="26">
        <f>ROUND(E6*E7,0)</f>
        <v/>
      </c>
      <c r="F18" s="26">
        <f>ROUND(F6*F7,0)</f>
        <v/>
      </c>
      <c r="G18" s="26">
        <f>ROUND(G6*G7,0)</f>
        <v/>
      </c>
    </row>
    <row r="19">
      <c r="A19" s="5" t="inlineStr">
        <is>
          <t>Выручка (руб.)</t>
        </is>
      </c>
      <c r="B19" s="27">
        <f>B18*B8</f>
        <v/>
      </c>
      <c r="C19" s="27">
        <f>C18*C8</f>
        <v/>
      </c>
      <c r="D19" s="27">
        <f>D18*D8</f>
        <v/>
      </c>
      <c r="E19" s="27">
        <f>E18*E8</f>
        <v/>
      </c>
      <c r="F19" s="27">
        <f>F18*F8</f>
        <v/>
      </c>
      <c r="G19" s="27">
        <f>G9</f>
        <v/>
      </c>
    </row>
    <row r="20">
      <c r="A20" s="5" t="inlineStr">
        <is>
          <t>Гонорар музыкантов</t>
        </is>
      </c>
      <c r="B20" s="28">
        <f>B10*B11</f>
        <v/>
      </c>
      <c r="C20" s="28">
        <f>C10*C11</f>
        <v/>
      </c>
      <c r="D20" s="28">
        <f>D10*D11</f>
        <v/>
      </c>
      <c r="E20" s="28">
        <f>E10*E11</f>
        <v/>
      </c>
      <c r="F20" s="28">
        <f>F10*F11</f>
        <v/>
      </c>
      <c r="G20" s="28">
        <f>G10*G11</f>
        <v/>
      </c>
    </row>
    <row r="21">
      <c r="A21" s="5" t="inlineStr">
        <is>
          <t>Гонорар ведущей</t>
        </is>
      </c>
      <c r="B21" s="28">
        <f>B12</f>
        <v/>
      </c>
      <c r="C21" s="28">
        <f>C12</f>
        <v/>
      </c>
      <c r="D21" s="28">
        <f>D12</f>
        <v/>
      </c>
      <c r="E21" s="28">
        <f>E12</f>
        <v/>
      </c>
      <c r="F21" s="28">
        <f>F12</f>
        <v/>
      </c>
      <c r="G21" s="28">
        <f>G12</f>
        <v/>
      </c>
    </row>
    <row r="22">
      <c r="A22" s="5" t="inlineStr">
        <is>
          <t>Гонорар администратора</t>
        </is>
      </c>
      <c r="B22" s="28">
        <f>B13</f>
        <v/>
      </c>
      <c r="C22" s="28">
        <f>C13</f>
        <v/>
      </c>
      <c r="D22" s="28">
        <f>D13</f>
        <v/>
      </c>
      <c r="E22" s="28">
        <f>E13</f>
        <v/>
      </c>
      <c r="F22" s="28">
        <f>F13</f>
        <v/>
      </c>
      <c r="G22" s="28">
        <f>G13</f>
        <v/>
      </c>
    </row>
    <row r="23">
      <c r="A23" s="5" t="inlineStr">
        <is>
          <t>Аренда площадки</t>
        </is>
      </c>
      <c r="B23" s="28">
        <f>B14</f>
        <v/>
      </c>
      <c r="C23" s="28">
        <f>C14</f>
        <v/>
      </c>
      <c r="D23" s="28">
        <f>D14</f>
        <v/>
      </c>
      <c r="E23" s="28">
        <f>E14</f>
        <v/>
      </c>
      <c r="F23" s="28">
        <f>F14</f>
        <v/>
      </c>
      <c r="G23" s="28">
        <f>G14</f>
        <v/>
      </c>
    </row>
    <row r="24">
      <c r="A24" s="5" t="inlineStr">
        <is>
          <t>Реквизит и прочее</t>
        </is>
      </c>
      <c r="B24" s="28">
        <f>B15</f>
        <v/>
      </c>
      <c r="C24" s="28">
        <f>C15</f>
        <v/>
      </c>
      <c r="D24" s="28">
        <f>D15</f>
        <v/>
      </c>
      <c r="E24" s="28">
        <f>E15</f>
        <v/>
      </c>
      <c r="F24" s="28">
        <f>F15</f>
        <v/>
      </c>
      <c r="G24" s="28">
        <f>G15</f>
        <v/>
      </c>
    </row>
    <row r="25">
      <c r="A25" s="12" t="inlineStr">
        <is>
          <t>ИТОГО ЗАТРАТЫ</t>
        </is>
      </c>
      <c r="B25" s="13">
        <f>SUM(B20:B24)</f>
        <v/>
      </c>
      <c r="C25" s="13">
        <f>SUM(C20:C24)</f>
        <v/>
      </c>
      <c r="D25" s="13">
        <f>SUM(D20:D24)</f>
        <v/>
      </c>
      <c r="E25" s="13">
        <f>SUM(E20:E24)</f>
        <v/>
      </c>
      <c r="F25" s="13">
        <f>SUM(F20:F24)</f>
        <v/>
      </c>
      <c r="G25" s="13">
        <f>SUM(G20:G24)</f>
        <v/>
      </c>
    </row>
    <row r="26">
      <c r="A26" s="14" t="inlineStr">
        <is>
          <t>ВАЛОВАЯ ПРИБЫЛЬ</t>
        </is>
      </c>
      <c r="B26" s="20">
        <f>B19-B25</f>
        <v/>
      </c>
      <c r="C26" s="20">
        <f>C19-C25</f>
        <v/>
      </c>
      <c r="D26" s="20">
        <f>D19-D25</f>
        <v/>
      </c>
      <c r="E26" s="20">
        <f>E19-E25</f>
        <v/>
      </c>
      <c r="F26" s="20">
        <f>F19-F25</f>
        <v/>
      </c>
      <c r="G26" s="20">
        <f>G19-G25</f>
        <v/>
      </c>
    </row>
    <row r="27">
      <c r="A27" s="16" t="inlineStr">
        <is>
          <t>МАРЖА (%)</t>
        </is>
      </c>
      <c r="B27" s="17">
        <f>IFERROR((B19-B25)/B19,0)</f>
        <v/>
      </c>
      <c r="C27" s="17">
        <f>IFERROR((C19-C25)/C19,0)</f>
        <v/>
      </c>
      <c r="D27" s="17">
        <f>IFERROR((D19-D25)/D19,0)</f>
        <v/>
      </c>
      <c r="E27" s="17">
        <f>IFERROR((E19-E25)/E19,0)</f>
        <v/>
      </c>
      <c r="F27" s="17">
        <f>IFERROR((F19-F25)/F19,0)</f>
        <v/>
      </c>
      <c r="G27" s="17">
        <f>IFERROR((G19-G25)/G19,0)</f>
        <v/>
      </c>
    </row>
    <row r="28">
      <c r="A28" s="29" t="inlineStr">
        <is>
          <t>Точка безубыт. (семей, мин.)</t>
        </is>
      </c>
      <c r="B28" s="26">
        <f>IFERROR(CEILING(B25/B8,1),"-")</f>
        <v/>
      </c>
      <c r="C28" s="26">
        <f>IFERROR(CEILING(C25/C8,1),"-")</f>
        <v/>
      </c>
      <c r="D28" s="26">
        <f>IFERROR(CEILING(D25/D8,1),"-")</f>
        <v/>
      </c>
      <c r="E28" s="26">
        <f>IFERROR(CEILING(E25/E8,1),"-")</f>
        <v/>
      </c>
      <c r="F28" s="26">
        <f>IFERROR(CEILING(F25/F8,1),"-")</f>
        <v/>
      </c>
      <c r="G28" s="30" t="inlineStr">
        <is>
          <t>N/A</t>
        </is>
      </c>
    </row>
  </sheetData>
  <mergeCells count="4">
    <mergeCell ref="A17:H17"/>
    <mergeCell ref="A2:H2"/>
    <mergeCell ref="A5:H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ПРАЙС 2026 — АВТОМАТИЧЕСКИЙ РАСЧЁТ РЕНТАБЕЛЬНОСТИ</t>
        </is>
      </c>
    </row>
    <row r="3" ht="22" customHeight="1">
      <c r="A3" s="3" t="inlineStr">
        <is>
          <t>БАЗОВЫЕ СТАВКИ (редактируемые)</t>
        </is>
      </c>
    </row>
    <row r="4">
      <c r="A4" s="5" t="inlineStr">
        <is>
          <t>Ставка музыканта (руб./выход)</t>
        </is>
      </c>
      <c r="B4" s="6" t="n">
        <v>4000</v>
      </c>
    </row>
    <row r="5">
      <c r="A5" s="5" t="inlineStr">
        <is>
          <t>Ставка ведущей (руб./выход)</t>
        </is>
      </c>
      <c r="B5" s="6" t="n">
        <v>4000</v>
      </c>
    </row>
    <row r="6">
      <c r="A6" s="5" t="inlineStr">
        <is>
          <t>Ставка администратора (руб./выход)</t>
        </is>
      </c>
      <c r="B6" s="6" t="n">
        <v>2500</v>
      </c>
    </row>
    <row r="7">
      <c r="A7" s="5" t="inlineStr">
        <is>
          <t>Реквизит/прочее (руб.)</t>
        </is>
      </c>
      <c r="B7" s="6" t="n">
        <v>1000</v>
      </c>
    </row>
    <row r="9" ht="22" customHeight="1">
      <c r="A9" s="3" t="inlineStr">
        <is>
          <t>ЗАКАЗНОЙ ПРАЙС — РАСЧЁТ РЕНТАБЕЛЬНОСТИ</t>
        </is>
      </c>
    </row>
    <row r="10" ht="35" customHeight="1">
      <c r="A10" s="4" t="inlineStr">
        <is>
          <t>Программа</t>
        </is>
      </c>
      <c r="B10" s="4" t="inlineStr">
        <is>
          <t>Состав</t>
        </is>
      </c>
      <c r="C10" s="4" t="inlineStr">
        <is>
          <t>Муз-тов</t>
        </is>
      </c>
      <c r="D10" s="4" t="inlineStr">
        <is>
          <t>Цена ≤10</t>
        </is>
      </c>
      <c r="E10" s="4" t="inlineStr">
        <is>
          <t>Цена 11–15</t>
        </is>
      </c>
      <c r="F10" s="4" t="inlineStr">
        <is>
          <t>За МКАДом</t>
        </is>
      </c>
      <c r="G10" s="4" t="inlineStr">
        <is>
          <t>Себест.</t>
        </is>
      </c>
      <c r="H10" s="4" t="inlineStr">
        <is>
          <t>Прибыль (≤10)</t>
        </is>
      </c>
      <c r="I10" s="4" t="inlineStr">
        <is>
          <t>Маржа</t>
        </is>
      </c>
    </row>
    <row r="11">
      <c r="A11" s="5" t="inlineStr">
        <is>
          <t>Знакомство с классикой</t>
        </is>
      </c>
      <c r="B11" s="31" t="inlineStr">
        <is>
          <t>Дуэт</t>
        </is>
      </c>
      <c r="C11" s="32" t="n">
        <v>2</v>
      </c>
      <c r="D11" s="6" t="n">
        <v>30000</v>
      </c>
      <c r="E11" s="6" t="n">
        <v>32000</v>
      </c>
      <c r="F11" s="6" t="n">
        <v>35000</v>
      </c>
      <c r="G11" s="6">
        <f>C11*$B$4+$B$5+$B$6+$B$7</f>
        <v/>
      </c>
      <c r="H11" s="33">
        <f>D11-G11</f>
        <v/>
      </c>
      <c r="I11" s="34">
        <f>IFERROR((D11-G11)/D11,0)</f>
        <v/>
      </c>
    </row>
    <row r="12">
      <c r="A12" s="5" t="inlineStr">
        <is>
          <t>Магия флейты / Арфа</t>
        </is>
      </c>
      <c r="B12" s="31" t="inlineStr">
        <is>
          <t>Дуэт+</t>
        </is>
      </c>
      <c r="C12" s="32" t="n">
        <v>2</v>
      </c>
      <c r="D12" s="6" t="n">
        <v>32000</v>
      </c>
      <c r="E12" s="6" t="n">
        <v>34000</v>
      </c>
      <c r="F12" s="6" t="n">
        <v>37000</v>
      </c>
      <c r="G12" s="6">
        <f>C12*$B$4+$B$5+$B$6+$B$7</f>
        <v/>
      </c>
      <c r="H12" s="33">
        <f>D12-G12</f>
        <v/>
      </c>
      <c r="I12" s="34">
        <f>IFERROR((D12-G12)/D12,0)</f>
        <v/>
      </c>
    </row>
    <row r="13">
      <c r="A13" s="5" t="inlineStr">
        <is>
          <t>Сказочный бал / Зоопарк</t>
        </is>
      </c>
      <c r="B13" s="31" t="inlineStr">
        <is>
          <t>Трио</t>
        </is>
      </c>
      <c r="C13" s="32" t="n">
        <v>3</v>
      </c>
      <c r="D13" s="6" t="n">
        <v>40000</v>
      </c>
      <c r="E13" s="6" t="n">
        <v>42000</v>
      </c>
      <c r="F13" s="6" t="n">
        <v>47000</v>
      </c>
      <c r="G13" s="6">
        <f>C13*$B$4+$B$5+$B$6+$B$7</f>
        <v/>
      </c>
      <c r="H13" s="33">
        <f>D13-G13</f>
        <v/>
      </c>
      <c r="I13" s="34">
        <f>IFERROR((D13-G13)/D13,0)</f>
        <v/>
      </c>
    </row>
    <row r="14">
      <c r="A14" s="5" t="inlineStr">
        <is>
          <t>Летний бал / Щеглёнок</t>
        </is>
      </c>
      <c r="B14" s="31" t="inlineStr">
        <is>
          <t>Трио</t>
        </is>
      </c>
      <c r="C14" s="32" t="n">
        <v>3</v>
      </c>
      <c r="D14" s="6" t="n">
        <v>40000</v>
      </c>
      <c r="E14" s="6" t="n">
        <v>42000</v>
      </c>
      <c r="F14" s="6" t="n">
        <v>47000</v>
      </c>
      <c r="G14" s="6">
        <f>C14*$B$4+$B$5+$B$6+$B$7</f>
        <v/>
      </c>
      <c r="H14" s="33">
        <f>D14-G14</f>
        <v/>
      </c>
      <c r="I14" s="34">
        <f>IFERROR((D14-G14)/D14,0)</f>
        <v/>
      </c>
    </row>
    <row r="15">
      <c r="A15" s="5" t="inlineStr">
        <is>
          <t>Зимний бал / Щелкунчик</t>
        </is>
      </c>
      <c r="B15" s="31" t="inlineStr">
        <is>
          <t>Трио</t>
        </is>
      </c>
      <c r="C15" s="32" t="n">
        <v>3</v>
      </c>
      <c r="D15" s="6" t="n">
        <v>45000</v>
      </c>
      <c r="E15" s="6" t="n">
        <v>47000</v>
      </c>
      <c r="F15" s="6" t="n">
        <v>52000</v>
      </c>
      <c r="G15" s="6">
        <f>C15*$B$4+$B$5+$B$6+$B$7</f>
        <v/>
      </c>
      <c r="H15" s="33">
        <f>D15-G15</f>
        <v/>
      </c>
      <c r="I15" s="34">
        <f>IFERROR((D15-G15)/D15,0)</f>
        <v/>
      </c>
    </row>
    <row r="16">
      <c r="A16" s="5" t="inlineStr">
        <is>
          <t>Новогодние программы</t>
        </is>
      </c>
      <c r="B16" s="31" t="inlineStr">
        <is>
          <t>Трио</t>
        </is>
      </c>
      <c r="C16" s="32" t="n">
        <v>3</v>
      </c>
      <c r="D16" s="6" t="n">
        <v>45000</v>
      </c>
      <c r="E16" s="6" t="n">
        <v>47000</v>
      </c>
      <c r="F16" s="6" t="n">
        <v>52000</v>
      </c>
      <c r="G16" s="6">
        <f>C16*$B$4+$B$5+$B$6+$B$7</f>
        <v/>
      </c>
      <c r="H16" s="33">
        <f>D16-G16</f>
        <v/>
      </c>
      <c r="I16" s="34">
        <f>IFERROR((D16-G16)/D16,0)</f>
        <v/>
      </c>
    </row>
    <row r="17">
      <c r="A17" s="5" t="inlineStr">
        <is>
          <t>День рождения</t>
        </is>
      </c>
      <c r="B17" s="31" t="inlineStr">
        <is>
          <t>Трио</t>
        </is>
      </c>
      <c r="C17" s="32" t="n">
        <v>3</v>
      </c>
      <c r="D17" s="6" t="n">
        <v>40000</v>
      </c>
      <c r="E17" s="6" t="n">
        <v>42000</v>
      </c>
      <c r="F17" s="6" t="n">
        <v>47000</v>
      </c>
      <c r="G17" s="6">
        <f>C17*$B$4+$B$5+$B$6+$B$7</f>
        <v/>
      </c>
      <c r="H17" s="33">
        <f>D17-G17</f>
        <v/>
      </c>
      <c r="I17" s="34">
        <f>IFERROR((D17-G17)/D17,0)</f>
        <v/>
      </c>
    </row>
    <row r="18">
      <c r="A18" s="5" t="inlineStr">
        <is>
          <t>Путешествие гения</t>
        </is>
      </c>
      <c r="B18" s="31" t="inlineStr">
        <is>
          <t>Квартет</t>
        </is>
      </c>
      <c r="C18" s="32" t="n">
        <v>4</v>
      </c>
      <c r="D18" s="6" t="n">
        <v>45000</v>
      </c>
      <c r="E18" s="6" t="n">
        <v>47000</v>
      </c>
      <c r="F18" s="6" t="n">
        <v>52000</v>
      </c>
      <c r="G18" s="6">
        <f>C18*$B$4+$B$5+$B$6+$B$7</f>
        <v/>
      </c>
      <c r="H18" s="33">
        <f>D18-G18</f>
        <v/>
      </c>
      <c r="I18" s="34">
        <f>IFERROR((D18-G18)/D18,0)</f>
        <v/>
      </c>
    </row>
    <row r="19">
      <c r="A19" s="5" t="inlineStr">
        <is>
          <t>Ледяные часы</t>
        </is>
      </c>
      <c r="B19" s="31" t="inlineStr">
        <is>
          <t>Квартет</t>
        </is>
      </c>
      <c r="C19" s="32" t="n">
        <v>4</v>
      </c>
      <c r="D19" s="6" t="n">
        <v>45000</v>
      </c>
      <c r="E19" s="6" t="n">
        <v>47000</v>
      </c>
      <c r="F19" s="6" t="n">
        <v>52000</v>
      </c>
      <c r="G19" s="6">
        <f>C19*$B$4+$B$5+$B$6+$B$7</f>
        <v/>
      </c>
      <c r="H19" s="33">
        <f>D19-G19</f>
        <v/>
      </c>
      <c r="I19" s="34">
        <f>IFERROR((D19-G19)/D19,0)</f>
        <v/>
      </c>
    </row>
    <row r="20">
      <c r="A20" s="5" t="inlineStr">
        <is>
          <t>Музыка сказок. Русские</t>
        </is>
      </c>
      <c r="B20" s="31" t="inlineStr">
        <is>
          <t>Квартет</t>
        </is>
      </c>
      <c r="C20" s="32" t="n">
        <v>4</v>
      </c>
      <c r="D20" s="6" t="n">
        <v>45000</v>
      </c>
      <c r="E20" s="6" t="n">
        <v>47000</v>
      </c>
      <c r="F20" s="6" t="n">
        <v>52000</v>
      </c>
      <c r="G20" s="6">
        <f>C20*$B$4+$B$5+$B$6+$B$7</f>
        <v/>
      </c>
      <c r="H20" s="33">
        <f>D20-G20</f>
        <v/>
      </c>
      <c r="I20" s="34">
        <f>IFERROR((D20-G20)/D20,0)</f>
        <v/>
      </c>
    </row>
    <row r="22" ht="22" customHeight="1">
      <c r="A22" s="35" t="inlineStr">
        <is>
          <t>ПАРТНЁРСКИЙ ПРАЙС (от 3 концертов за 6 мес.)</t>
        </is>
      </c>
    </row>
    <row r="23" ht="35" customHeight="1">
      <c r="A23" s="36" t="inlineStr">
        <is>
          <t>Программа</t>
        </is>
      </c>
      <c r="B23" s="36" t="inlineStr">
        <is>
          <t>Состав</t>
        </is>
      </c>
      <c r="C23" s="36" t="inlineStr">
        <is>
          <t>Муз-тов</t>
        </is>
      </c>
      <c r="D23" s="36" t="inlineStr">
        <is>
          <t>Цена ≤10</t>
        </is>
      </c>
      <c r="E23" s="36" t="inlineStr">
        <is>
          <t>Цена 10–15</t>
        </is>
      </c>
      <c r="F23" s="36" t="inlineStr">
        <is>
          <t>За МКАДом</t>
        </is>
      </c>
      <c r="G23" s="36" t="inlineStr">
        <is>
          <t>Себест.</t>
        </is>
      </c>
      <c r="H23" s="36" t="inlineStr">
        <is>
          <t>Прибыль (≤10)</t>
        </is>
      </c>
      <c r="I23" s="36" t="inlineStr">
        <is>
          <t>Маржа</t>
        </is>
      </c>
    </row>
    <row r="24">
      <c r="A24" s="5" t="inlineStr">
        <is>
          <t>День рождения</t>
        </is>
      </c>
      <c r="B24" s="31" t="inlineStr">
        <is>
          <t>Дуэт</t>
        </is>
      </c>
      <c r="C24" s="32" t="n">
        <v>2</v>
      </c>
      <c r="D24" s="6" t="n">
        <v>30000</v>
      </c>
      <c r="E24" s="6" t="n">
        <v>35000</v>
      </c>
      <c r="F24" s="6" t="n">
        <v>37000</v>
      </c>
      <c r="G24" s="6">
        <f>C24*$B$4+$B$5+$B$6+$B$7</f>
        <v/>
      </c>
      <c r="H24" s="33">
        <f>D24-G24</f>
        <v/>
      </c>
      <c r="I24" s="34">
        <f>IFERROR((D24-G24)/D24,0)</f>
        <v/>
      </c>
    </row>
    <row r="25">
      <c r="A25" s="5" t="inlineStr">
        <is>
          <t>Голос моря / Щеглёнок</t>
        </is>
      </c>
      <c r="B25" s="31" t="inlineStr">
        <is>
          <t>Трио</t>
        </is>
      </c>
      <c r="C25" s="32" t="n">
        <v>3</v>
      </c>
      <c r="D25" s="6" t="n">
        <v>35000</v>
      </c>
      <c r="E25" s="6" t="n">
        <v>40000</v>
      </c>
      <c r="F25" s="6" t="n">
        <v>42000</v>
      </c>
      <c r="G25" s="6">
        <f>C25*$B$4+$B$5+$B$6+$B$7</f>
        <v/>
      </c>
      <c r="H25" s="33">
        <f>D25-G25</f>
        <v/>
      </c>
      <c r="I25" s="34">
        <f>IFERROR((D25-G25)/D25,0)</f>
        <v/>
      </c>
    </row>
    <row r="26">
      <c r="A26" s="5" t="inlineStr">
        <is>
          <t>Зимний бал / Щелкунчик</t>
        </is>
      </c>
      <c r="B26" s="31" t="inlineStr">
        <is>
          <t>Трио</t>
        </is>
      </c>
      <c r="C26" s="32" t="n">
        <v>3</v>
      </c>
      <c r="D26" s="6" t="n">
        <v>33000</v>
      </c>
      <c r="E26" s="6" t="n">
        <v>38000</v>
      </c>
      <c r="F26" s="6" t="n">
        <v>40000</v>
      </c>
      <c r="G26" s="6">
        <f>C26*$B$4+$B$5+$B$6+$B$7</f>
        <v/>
      </c>
      <c r="H26" s="33">
        <f>D26-G26</f>
        <v/>
      </c>
      <c r="I26" s="34">
        <f>IFERROR((D26-G26)/D26,0)</f>
        <v/>
      </c>
    </row>
    <row r="27">
      <c r="A27" s="5" t="inlineStr">
        <is>
          <t>Наряжаем ёлку / Нов.мечта</t>
        </is>
      </c>
      <c r="B27" s="31" t="inlineStr">
        <is>
          <t>Трио</t>
        </is>
      </c>
      <c r="C27" s="32" t="n">
        <v>3</v>
      </c>
      <c r="D27" s="6" t="n">
        <v>33000</v>
      </c>
      <c r="E27" s="6" t="n">
        <v>35000</v>
      </c>
      <c r="F27" s="6" t="n">
        <v>37000</v>
      </c>
      <c r="G27" s="6">
        <f>C27*$B$4+$B$5+$B$6+$B$7</f>
        <v/>
      </c>
      <c r="H27" s="33">
        <f>D27-G27</f>
        <v/>
      </c>
      <c r="I27" s="34">
        <f>IFERROR((D27-G27)/D27,0)</f>
        <v/>
      </c>
    </row>
    <row r="28">
      <c r="A28" s="5" t="inlineStr">
        <is>
          <t>Путешествие гения</t>
        </is>
      </c>
      <c r="B28" s="31" t="inlineStr">
        <is>
          <t>Квартет</t>
        </is>
      </c>
      <c r="C28" s="32" t="n">
        <v>4</v>
      </c>
      <c r="D28" s="6" t="n">
        <v>35000</v>
      </c>
      <c r="E28" s="6" t="n">
        <v>40000</v>
      </c>
      <c r="F28" s="6" t="n">
        <v>42000</v>
      </c>
      <c r="G28" s="6">
        <f>C28*$B$4+$B$5+$B$6+$B$7</f>
        <v/>
      </c>
      <c r="H28" s="33">
        <f>D28-G28</f>
        <v/>
      </c>
      <c r="I28" s="34">
        <f>IFERROR((D28-G28)/D28,0)</f>
        <v/>
      </c>
    </row>
    <row r="29">
      <c r="A29" s="5" t="inlineStr">
        <is>
          <t>Музыка сказок. Русские</t>
        </is>
      </c>
      <c r="B29" s="31" t="inlineStr">
        <is>
          <t>Квартет</t>
        </is>
      </c>
      <c r="C29" s="32" t="n">
        <v>4</v>
      </c>
      <c r="D29" s="6" t="n">
        <v>33000</v>
      </c>
      <c r="E29" s="6" t="n">
        <v>38000</v>
      </c>
      <c r="F29" s="6" t="n">
        <v>40000</v>
      </c>
      <c r="G29" s="6">
        <f>C29*$B$4+$B$5+$B$6+$B$7</f>
        <v/>
      </c>
      <c r="H29" s="33">
        <f>D29-G29</f>
        <v/>
      </c>
      <c r="I29" s="34">
        <f>IFERROR((D29-G29)/D29,0)</f>
        <v/>
      </c>
    </row>
  </sheetData>
  <mergeCells count="4">
    <mergeCell ref="A1:I1"/>
    <mergeCell ref="A9:I9"/>
    <mergeCell ref="A3:I3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15" customWidth="1" min="4" max="4"/>
  </cols>
  <sheetData>
    <row r="1" ht="30" customHeight="1">
      <c r="A1" s="37" t="inlineStr">
        <is>
          <t>КАЛЬКУЛЯТОР «ЧТО ЕСЛИ» — меняйте жёлтые цифры → результат обновится</t>
        </is>
      </c>
    </row>
    <row r="2">
      <c r="A2" s="22" t="inlineStr">
        <is>
          <t>Все формулы связаны между собой. Изменение одного параметра меняет весь P&amp;L.</t>
        </is>
      </c>
    </row>
    <row r="4" ht="22" customHeight="1">
      <c r="A4" s="3" t="inlineStr">
        <is>
          <t>ВХОДНЫЕ ПАРАМЕТРЫ</t>
        </is>
      </c>
    </row>
    <row r="5">
      <c r="A5" s="38" t="inlineStr">
        <is>
          <t>Параметр</t>
        </is>
      </c>
    </row>
    <row r="6">
      <c r="B6" s="38" t="inlineStr">
        <is>
          <t>Значение</t>
        </is>
      </c>
    </row>
    <row r="7">
      <c r="C7" s="38" t="inlineStr">
        <is>
          <t>Ед.изм.</t>
        </is>
      </c>
    </row>
    <row r="8">
      <c r="D8" s="38" t="inlineStr"/>
    </row>
    <row r="9">
      <c r="A9" s="5" t="inlineStr">
        <is>
          <t>Концертов в год (план)</t>
        </is>
      </c>
      <c r="B9" s="6" t="n">
        <v>437</v>
      </c>
      <c r="C9" s="31" t="inlineStr">
        <is>
          <t>шт.</t>
        </is>
      </c>
    </row>
    <row r="10">
      <c r="A10" s="5" t="inlineStr">
        <is>
          <t>Ср. билет (собств. концерты)</t>
        </is>
      </c>
      <c r="B10" s="6" t="n">
        <v>4500</v>
      </c>
      <c r="C10" s="31" t="inlineStr">
        <is>
          <t>руб.</t>
        </is>
      </c>
    </row>
    <row r="11">
      <c r="A11" s="5" t="inlineStr">
        <is>
          <t>Заполняемость</t>
        </is>
      </c>
      <c r="B11" s="25" t="n">
        <v>0.85</v>
      </c>
      <c r="C11" s="31" t="inlineStr">
        <is>
          <t>%</t>
        </is>
      </c>
    </row>
    <row r="12">
      <c r="A12" s="5" t="inlineStr">
        <is>
          <t>Вместимость (семей на конц.)</t>
        </is>
      </c>
      <c r="B12" s="6" t="n">
        <v>14</v>
      </c>
      <c r="C12" s="31" t="inlineStr">
        <is>
          <t>семей</t>
        </is>
      </c>
    </row>
    <row r="13">
      <c r="A13" s="5" t="inlineStr">
        <is>
          <t>Ставка музыканта</t>
        </is>
      </c>
      <c r="B13" s="6" t="n">
        <v>4000</v>
      </c>
      <c r="C13" s="31" t="inlineStr">
        <is>
          <t>руб.</t>
        </is>
      </c>
    </row>
    <row r="14">
      <c r="A14" s="5" t="inlineStr">
        <is>
          <t>Ср. кол-во музыкантов на конц.</t>
        </is>
      </c>
      <c r="B14" s="39" t="n">
        <v>2.8</v>
      </c>
      <c r="C14" s="31" t="inlineStr">
        <is>
          <t>чел.</t>
        </is>
      </c>
    </row>
    <row r="15">
      <c r="A15" s="5" t="inlineStr">
        <is>
          <t>Ставка ведущей</t>
        </is>
      </c>
      <c r="B15" s="6" t="n">
        <v>4000</v>
      </c>
      <c r="C15" s="31" t="inlineStr">
        <is>
          <t>руб.</t>
        </is>
      </c>
    </row>
    <row r="16">
      <c r="A16" s="5" t="inlineStr">
        <is>
          <t>Ставка администратора</t>
        </is>
      </c>
      <c r="B16" s="6" t="n">
        <v>2500</v>
      </c>
      <c r="C16" s="31" t="inlineStr">
        <is>
          <t>руб.</t>
        </is>
      </c>
    </row>
    <row r="17">
      <c r="A17" s="5" t="inlineStr">
        <is>
          <t>Ср. аренда на концерт</t>
        </is>
      </c>
      <c r="B17" s="6" t="n">
        <v>7500</v>
      </c>
      <c r="C17" s="31" t="inlineStr">
        <is>
          <t>руб.</t>
        </is>
      </c>
    </row>
    <row r="18">
      <c r="A18" s="5" t="inlineStr">
        <is>
          <t>Прочие на концерт</t>
        </is>
      </c>
      <c r="B18" s="6" t="n">
        <v>2000</v>
      </c>
      <c r="C18" s="31" t="inlineStr">
        <is>
          <t>руб.</t>
        </is>
      </c>
    </row>
    <row r="19">
      <c r="A19" s="5" t="inlineStr">
        <is>
          <t>ФОТ команды (год)</t>
        </is>
      </c>
      <c r="B19" s="6" t="n">
        <v>3360000</v>
      </c>
      <c r="C19" s="31" t="inlineStr">
        <is>
          <t>руб.</t>
        </is>
      </c>
    </row>
    <row r="20">
      <c r="A20" s="5" t="inlineStr">
        <is>
          <t>Маркетинг (год)</t>
        </is>
      </c>
      <c r="B20" s="6" t="n">
        <v>900000</v>
      </c>
      <c r="C20" s="31" t="inlineStr">
        <is>
          <t>руб.</t>
        </is>
      </c>
    </row>
    <row r="21">
      <c r="A21" s="5" t="inlineStr">
        <is>
          <t>Налог (%)</t>
        </is>
      </c>
      <c r="B21" s="25" t="n">
        <v>0.03</v>
      </c>
      <c r="C21" s="31" t="inlineStr">
        <is>
          <t>%</t>
        </is>
      </c>
    </row>
    <row r="22">
      <c r="A22" s="5" t="inlineStr">
        <is>
          <t>B2B заказных концертов/год</t>
        </is>
      </c>
      <c r="B22" s="6" t="n">
        <v>20</v>
      </c>
      <c r="C22" s="31" t="inlineStr">
        <is>
          <t>шт.</t>
        </is>
      </c>
    </row>
    <row r="23">
      <c r="A23" s="5" t="inlineStr">
        <is>
          <t>Ср. чек B2B</t>
        </is>
      </c>
      <c r="B23" s="6" t="n">
        <v>42000</v>
      </c>
      <c r="C23" s="31" t="inlineStr">
        <is>
          <t>руб.</t>
        </is>
      </c>
    </row>
    <row r="24">
      <c r="A24" s="5" t="inlineStr">
        <is>
          <t>Семей-абонентов</t>
        </is>
      </c>
      <c r="B24" s="6" t="n">
        <v>150</v>
      </c>
      <c r="C24" s="31" t="inlineStr">
        <is>
          <t>семей</t>
        </is>
      </c>
    </row>
    <row r="25">
      <c r="A25" s="5" t="inlineStr">
        <is>
          <t>Ср. чек абонемента/год</t>
        </is>
      </c>
      <c r="B25" s="6" t="n">
        <v>16500</v>
      </c>
      <c r="C25" s="31" t="inlineStr">
        <is>
          <t>руб.</t>
        </is>
      </c>
    </row>
    <row r="26">
      <c r="A26" s="5" t="inlineStr">
        <is>
          <t>Доход от фестиваля (год)</t>
        </is>
      </c>
      <c r="B26" s="6" t="n">
        <v>1650000</v>
      </c>
      <c r="C26" s="31" t="inlineStr">
        <is>
          <t>руб.</t>
        </is>
      </c>
    </row>
    <row r="27">
      <c r="A27" s="5" t="inlineStr">
        <is>
          <t>Прочие доходы (год)</t>
        </is>
      </c>
      <c r="B27" s="6" t="n">
        <v>500000</v>
      </c>
      <c r="C27" s="31" t="inlineStr">
        <is>
          <t>руб.</t>
        </is>
      </c>
    </row>
    <row r="29" ht="22" customHeight="1">
      <c r="A29" s="35" t="inlineStr">
        <is>
          <t>РАСЧЁТ P&amp;L (все формулы)</t>
        </is>
      </c>
    </row>
    <row r="30">
      <c r="A30" s="3" t="inlineStr">
        <is>
          <t>— ДОХОДЫ —</t>
        </is>
      </c>
    </row>
    <row r="31">
      <c r="A31" s="40" t="inlineStr">
        <is>
          <t>Выручка от собств. концертов</t>
        </is>
      </c>
      <c r="B31" s="41">
        <f>B9*ROUND(B12*B11,0)*B10</f>
        <v/>
      </c>
      <c r="C31" s="31" t="inlineStr">
        <is>
          <t>руб.</t>
        </is>
      </c>
    </row>
    <row r="32">
      <c r="A32" s="40" t="inlineStr">
        <is>
          <t>Доход от B2B заказных</t>
        </is>
      </c>
      <c r="B32" s="41">
        <f>B22*B23</f>
        <v/>
      </c>
      <c r="C32" s="31" t="inlineStr">
        <is>
          <t>руб.</t>
        </is>
      </c>
    </row>
    <row r="33">
      <c r="A33" s="40" t="inlineStr">
        <is>
          <t>Доход от абонементов</t>
        </is>
      </c>
      <c r="B33" s="41">
        <f>B24*B25</f>
        <v/>
      </c>
      <c r="C33" s="31" t="inlineStr">
        <is>
          <t>руб.</t>
        </is>
      </c>
    </row>
    <row r="34">
      <c r="A34" s="40" t="inlineStr">
        <is>
          <t>Летний фестиваль</t>
        </is>
      </c>
      <c r="B34" s="41">
        <f>B26</f>
        <v/>
      </c>
      <c r="C34" s="31" t="inlineStr">
        <is>
          <t>руб.</t>
        </is>
      </c>
    </row>
    <row r="35">
      <c r="A35" s="40" t="inlineStr">
        <is>
          <t>Прочие доходы</t>
        </is>
      </c>
      <c r="B35" s="41">
        <f>B27</f>
        <v/>
      </c>
      <c r="C35" s="31" t="inlineStr">
        <is>
          <t>руб.</t>
        </is>
      </c>
    </row>
    <row r="36">
      <c r="A36" s="14" t="inlineStr">
        <is>
          <t>ИТОГО ДОХОДЫ</t>
        </is>
      </c>
      <c r="B36" s="8">
        <f>SUM(B31:B35)</f>
        <v/>
      </c>
      <c r="C36" s="31" t="inlineStr">
        <is>
          <t>руб.</t>
        </is>
      </c>
    </row>
    <row r="37">
      <c r="A37" s="9" t="inlineStr">
        <is>
          <t>— РАСХОДЫ —</t>
        </is>
      </c>
    </row>
    <row r="38">
      <c r="A38" s="40" t="inlineStr">
        <is>
          <t>Гонорары артистов</t>
        </is>
      </c>
      <c r="B38" s="41">
        <f>B9*B14*B13</f>
        <v/>
      </c>
      <c r="C38" s="31" t="inlineStr">
        <is>
          <t>руб.</t>
        </is>
      </c>
    </row>
    <row r="39">
      <c r="A39" s="40" t="inlineStr">
        <is>
          <t>Гонорары ведущих</t>
        </is>
      </c>
      <c r="B39" s="41">
        <f>B9*B15</f>
        <v/>
      </c>
      <c r="C39" s="31" t="inlineStr">
        <is>
          <t>руб.</t>
        </is>
      </c>
    </row>
    <row r="40">
      <c r="A40" s="40" t="inlineStr">
        <is>
          <t>Гонорары администраторов</t>
        </is>
      </c>
      <c r="B40" s="41">
        <f>B9*B16</f>
        <v/>
      </c>
      <c r="C40" s="31" t="inlineStr">
        <is>
          <t>руб.</t>
        </is>
      </c>
    </row>
    <row r="41">
      <c r="A41" s="40" t="inlineStr">
        <is>
          <t>Аренда площадок</t>
        </is>
      </c>
      <c r="B41" s="41">
        <f>B9*B17</f>
        <v/>
      </c>
      <c r="C41" s="31" t="inlineStr">
        <is>
          <t>руб.</t>
        </is>
      </c>
    </row>
    <row r="42">
      <c r="A42" s="40" t="inlineStr">
        <is>
          <t>Прочие операц. расходы</t>
        </is>
      </c>
      <c r="B42" s="41">
        <f>B9*B18</f>
        <v/>
      </c>
      <c r="C42" s="31" t="inlineStr">
        <is>
          <t>руб.</t>
        </is>
      </c>
    </row>
    <row r="43">
      <c r="A43" s="40" t="inlineStr">
        <is>
          <t>ФОТ команды управления</t>
        </is>
      </c>
      <c r="B43" s="41">
        <f>B19</f>
        <v/>
      </c>
      <c r="C43" s="31" t="inlineStr">
        <is>
          <t>руб.</t>
        </is>
      </c>
    </row>
    <row r="44">
      <c r="A44" s="40" t="inlineStr">
        <is>
          <t>Маркетинг</t>
        </is>
      </c>
      <c r="B44" s="41">
        <f>B20</f>
        <v/>
      </c>
      <c r="C44" s="31" t="inlineStr">
        <is>
          <t>руб.</t>
        </is>
      </c>
    </row>
    <row r="45">
      <c r="A45" s="14" t="inlineStr">
        <is>
          <t>ИТОГО РАСХОДЫ</t>
        </is>
      </c>
      <c r="B45" s="13">
        <f>SUM(B38:B44)</f>
        <v/>
      </c>
      <c r="C45" s="31" t="inlineStr">
        <is>
          <t>руб.</t>
        </is>
      </c>
    </row>
    <row r="46">
      <c r="A46" s="40" t="inlineStr">
        <is>
          <t>Налоги (от доходов)</t>
        </is>
      </c>
      <c r="B46" s="6">
        <f>B36*B21</f>
        <v/>
      </c>
      <c r="C46" s="31" t="inlineStr">
        <is>
          <t>руб.</t>
        </is>
      </c>
    </row>
    <row r="47">
      <c r="A47" s="14" t="inlineStr">
        <is>
          <t>ЧИСТАЯ ПРИБЫЛЬ</t>
        </is>
      </c>
      <c r="B47" s="15">
        <f>B36-B45-B46</f>
        <v/>
      </c>
      <c r="C47" s="31" t="inlineStr">
        <is>
          <t>руб.</t>
        </is>
      </c>
    </row>
    <row r="48">
      <c r="A48" s="14" t="inlineStr">
        <is>
          <t>МАРЖИНАЛЬНОСТЬ</t>
        </is>
      </c>
      <c r="B48" s="17">
        <f>IFERROR(B47/B36,0)</f>
        <v/>
      </c>
      <c r="C48" s="31" t="inlineStr">
        <is>
          <t>%</t>
        </is>
      </c>
    </row>
    <row r="49">
      <c r="A49" s="14" t="inlineStr">
        <is>
          <t>Точка безубыт. (концертов)</t>
        </is>
      </c>
      <c r="B49" s="42">
        <f>IFERROR(CEILING((B19+B20)/(B10*ROUND(B12*B11,0)-B14*B13-B15-B16-B17-B18),1),"-")</f>
        <v/>
      </c>
      <c r="C49" s="31" t="inlineStr">
        <is>
          <t>шт.</t>
        </is>
      </c>
    </row>
  </sheetData>
  <mergeCells count="6">
    <mergeCell ref="A1:D1"/>
    <mergeCell ref="A37:D37"/>
    <mergeCell ref="A4:D4"/>
    <mergeCell ref="A30:D30"/>
    <mergeCell ref="A29:D2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6" customWidth="1" min="4" max="4"/>
    <col width="12" customWidth="1" min="5" max="5"/>
    <col width="16" customWidth="1" min="6" max="6"/>
    <col width="30" customWidth="1" min="7" max="7"/>
  </cols>
  <sheetData>
    <row r="1" ht="30" customHeight="1">
      <c r="A1" s="1" t="inlineStr">
        <is>
          <t>СЕЗОННЫЙ АНАЛИЗ И КАССОВЫЙ РАЗРЫВ 2026 — формулы сальдо</t>
        </is>
      </c>
    </row>
    <row r="3" ht="35" customHeight="1">
      <c r="A3" s="23" t="inlineStr">
        <is>
          <t>Месяц</t>
        </is>
      </c>
      <c r="B3" s="23" t="inlineStr">
        <is>
          <t>Входящие (руб.)</t>
        </is>
      </c>
      <c r="C3" s="23" t="inlineStr">
        <is>
          <t>Расходы (руб.)</t>
        </is>
      </c>
      <c r="D3" s="23" t="inlineStr">
        <is>
          <t>Сальдо (формула)</t>
        </is>
      </c>
      <c r="E3" s="23" t="inlineStr">
        <is>
          <t>% к 2025</t>
        </is>
      </c>
      <c r="F3" s="23" t="inlineStr">
        <is>
          <t>Оценка</t>
        </is>
      </c>
      <c r="G3" s="23" t="inlineStr">
        <is>
          <t>Рекомендуемое действие</t>
        </is>
      </c>
    </row>
    <row r="4">
      <c r="A4" s="5" t="inlineStr">
        <is>
          <t>Январь 2026</t>
        </is>
      </c>
      <c r="B4" s="6" t="n">
        <v>2500000</v>
      </c>
      <c r="C4" s="6" t="n">
        <v>1800000</v>
      </c>
      <c r="D4" s="43">
        <f>B4-C4</f>
        <v/>
      </c>
      <c r="E4" s="31" t="inlineStr">
        <is>
          <t>+26%</t>
        </is>
      </c>
      <c r="F4" s="44" t="inlineStr">
        <is>
          <t>✅ Пик</t>
        </is>
      </c>
      <c r="G4" s="5" t="inlineStr">
        <is>
          <t>Реинвест в маркетинг</t>
        </is>
      </c>
    </row>
    <row r="5">
      <c r="A5" s="5" t="inlineStr">
        <is>
          <t>Февраль 2026</t>
        </is>
      </c>
      <c r="B5" s="6" t="n">
        <v>1200000</v>
      </c>
      <c r="C5" s="6" t="n">
        <v>1300000</v>
      </c>
      <c r="D5" s="6">
        <f>B5-C5</f>
        <v/>
      </c>
      <c r="E5" s="31" t="inlineStr">
        <is>
          <t>+26%</t>
        </is>
      </c>
      <c r="F5" s="19" t="inlineStr">
        <is>
          <t>🟡 Норма</t>
        </is>
      </c>
      <c r="G5" s="5" t="inlineStr">
        <is>
          <t>Контроль расходов</t>
        </is>
      </c>
    </row>
    <row r="6">
      <c r="A6" s="5" t="inlineStr">
        <is>
          <t>Март 2026</t>
        </is>
      </c>
      <c r="B6" s="6" t="n">
        <v>1200000</v>
      </c>
      <c r="C6" s="6" t="n">
        <v>1300000</v>
      </c>
      <c r="D6" s="6">
        <f>B6-C6</f>
        <v/>
      </c>
      <c r="E6" s="31" t="inlineStr">
        <is>
          <t>+26%</t>
        </is>
      </c>
      <c r="F6" s="19" t="inlineStr">
        <is>
          <t>🟡 Норма</t>
        </is>
      </c>
      <c r="G6" s="5" t="inlineStr">
        <is>
          <t>Продажи абонементов</t>
        </is>
      </c>
    </row>
    <row r="7">
      <c r="A7" s="5" t="inlineStr">
        <is>
          <t>Апрель 2026</t>
        </is>
      </c>
      <c r="B7" s="6" t="n">
        <v>689385</v>
      </c>
      <c r="C7" s="6" t="n">
        <v>1599475</v>
      </c>
      <c r="D7" s="28">
        <f>B7-C7</f>
        <v/>
      </c>
      <c r="E7" s="31" t="inlineStr">
        <is>
          <t>-6.3%</t>
        </is>
      </c>
      <c r="F7" s="45" t="inlineStr">
        <is>
          <t>🔴 Разрыв</t>
        </is>
      </c>
      <c r="G7" s="5" t="inlineStr">
        <is>
          <t>⚡ Early bird на фестиваль!</t>
        </is>
      </c>
    </row>
    <row r="8">
      <c r="A8" s="5" t="inlineStr">
        <is>
          <t>Май 2026</t>
        </is>
      </c>
      <c r="B8" s="6" t="n">
        <v>700000</v>
      </c>
      <c r="C8" s="6" t="n">
        <v>1100000</v>
      </c>
      <c r="D8" s="6">
        <f>B8-C8</f>
        <v/>
      </c>
      <c r="E8" s="31" t="inlineStr">
        <is>
          <t>план</t>
        </is>
      </c>
      <c r="F8" s="19" t="inlineStr">
        <is>
          <t>🟡 Низкий</t>
        </is>
      </c>
      <c r="G8" s="5" t="inlineStr">
        <is>
          <t>Подготовка фестиваля</t>
        </is>
      </c>
    </row>
    <row r="9">
      <c r="A9" s="5" t="inlineStr">
        <is>
          <t>Июнь 2026</t>
        </is>
      </c>
      <c r="B9" s="6" t="n">
        <v>900000</v>
      </c>
      <c r="C9" s="6" t="n">
        <v>1100000</v>
      </c>
      <c r="D9" s="6">
        <f>B9-C9</f>
        <v/>
      </c>
      <c r="E9" s="31" t="inlineStr">
        <is>
          <t>план</t>
        </is>
      </c>
      <c r="F9" s="19" t="inlineStr">
        <is>
          <t>🟡 Норма</t>
        </is>
      </c>
      <c r="G9" s="5" t="inlineStr">
        <is>
          <t>Продажи билетов на июль</t>
        </is>
      </c>
    </row>
    <row r="10">
      <c r="A10" s="5" t="inlineStr">
        <is>
          <t>Июль 2026</t>
        </is>
      </c>
      <c r="B10" s="6" t="n">
        <v>2500000</v>
      </c>
      <c r="C10" s="6" t="n">
        <v>1500000</v>
      </c>
      <c r="D10" s="43">
        <f>B10-C10</f>
        <v/>
      </c>
      <c r="E10" s="31" t="inlineStr">
        <is>
          <t>план</t>
        </is>
      </c>
      <c r="F10" s="44" t="inlineStr">
        <is>
          <t>✅ Фест.</t>
        </is>
      </c>
      <c r="G10" s="5" t="inlineStr">
        <is>
          <t>Проведение фестиваля</t>
        </is>
      </c>
    </row>
    <row r="11">
      <c r="A11" s="5" t="inlineStr">
        <is>
          <t>Август 2026</t>
        </is>
      </c>
      <c r="B11" s="6" t="n">
        <v>500000</v>
      </c>
      <c r="C11" s="6" t="n">
        <v>900000</v>
      </c>
      <c r="D11" s="28">
        <f>B11-C11</f>
        <v/>
      </c>
      <c r="E11" s="31" t="inlineStr">
        <is>
          <t>план</t>
        </is>
      </c>
      <c r="F11" s="45" t="inlineStr">
        <is>
          <t>🔴 Лето</t>
        </is>
      </c>
      <c r="G11" s="5" t="inlineStr">
        <is>
          <t>Цифровые продукты</t>
        </is>
      </c>
    </row>
    <row r="12">
      <c r="A12" s="5" t="inlineStr">
        <is>
          <t>Сентябрь 2026</t>
        </is>
      </c>
      <c r="B12" s="6" t="n">
        <v>1000000</v>
      </c>
      <c r="C12" s="6" t="n">
        <v>1100000</v>
      </c>
      <c r="D12" s="6">
        <f>B12-C12</f>
        <v/>
      </c>
      <c r="E12" s="31" t="inlineStr">
        <is>
          <t>план</t>
        </is>
      </c>
      <c r="F12" s="19" t="inlineStr">
        <is>
          <t>🟡 Старт</t>
        </is>
      </c>
      <c r="G12" s="5" t="inlineStr">
        <is>
          <t>Mozart for adults</t>
        </is>
      </c>
    </row>
    <row r="13">
      <c r="A13" s="5" t="inlineStr">
        <is>
          <t>Октябрь 2026</t>
        </is>
      </c>
      <c r="B13" s="6" t="n">
        <v>1500000</v>
      </c>
      <c r="C13" s="6" t="n">
        <v>1200000</v>
      </c>
      <c r="D13" s="43">
        <f>B13-C13</f>
        <v/>
      </c>
      <c r="E13" s="31" t="inlineStr">
        <is>
          <t>план</t>
        </is>
      </c>
      <c r="F13" s="44" t="inlineStr">
        <is>
          <t>✅ Рост</t>
        </is>
      </c>
      <c r="G13" s="5" t="inlineStr">
        <is>
          <t>Корп. заказы на НГ</t>
        </is>
      </c>
    </row>
    <row r="14">
      <c r="A14" s="5" t="inlineStr">
        <is>
          <t>Ноябрь 2026</t>
        </is>
      </c>
      <c r="B14" s="6" t="n">
        <v>2000000</v>
      </c>
      <c r="C14" s="6" t="n">
        <v>1400000</v>
      </c>
      <c r="D14" s="43">
        <f>B14-C14</f>
        <v/>
      </c>
      <c r="E14" s="31" t="inlineStr">
        <is>
          <t>план</t>
        </is>
      </c>
      <c r="F14" s="44" t="inlineStr">
        <is>
          <t>✅ Пик</t>
        </is>
      </c>
      <c r="G14" s="5" t="inlineStr">
        <is>
          <t>НГ концерты, корп.</t>
        </is>
      </c>
    </row>
    <row r="15">
      <c r="A15" s="5" t="inlineStr">
        <is>
          <t>Декабрь 2026</t>
        </is>
      </c>
      <c r="B15" s="6" t="n">
        <v>3000000</v>
      </c>
      <c r="C15" s="6" t="n">
        <v>1800000</v>
      </c>
      <c r="D15" s="43">
        <f>B15-C15</f>
        <v/>
      </c>
      <c r="E15" s="31" t="inlineStr">
        <is>
          <t>план</t>
        </is>
      </c>
      <c r="F15" s="44" t="inlineStr">
        <is>
          <t>✅ Пик НГ</t>
        </is>
      </c>
      <c r="G15" s="5" t="inlineStr">
        <is>
          <t>Новогодний максимум</t>
        </is>
      </c>
    </row>
    <row r="16">
      <c r="A16" s="7" t="inlineStr">
        <is>
          <t>ИТОГО ГОД</t>
        </is>
      </c>
      <c r="B16" s="8">
        <f>SUM(B4:B15)</f>
        <v/>
      </c>
      <c r="C16" s="13">
        <f>SUM(C4:C15)</f>
        <v/>
      </c>
      <c r="D16" s="20">
        <f>B16-C16</f>
        <v/>
      </c>
      <c r="E16" s="46">
        <f>IFERROR(B16/18001161-1,0)</f>
        <v/>
      </c>
      <c r="F16" s="47" t="inlineStr">
        <is>
          <t>Прогноз года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2026-06-05T23:36:37Z</dcterms:created>
  <dcterms:modified xmlns:dcterms="http://purl.org/dc/terms/" xmlns:xsi="http://www.w3.org/2001/XMLSchema-instance" xsi:type="dcterms:W3CDTF">2026-06-05T23:36:37Z</dcterms:modified>
</cp:coreProperties>
</file>