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P&amp;L Анализ" sheetId="2" state="visible" r:id="rId2"/>
    <sheet xmlns:r="http://schemas.openxmlformats.org/officeDocument/2006/relationships" name="Оптимизация затрат" sheetId="3" state="visible" r:id="rId3"/>
    <sheet xmlns:r="http://schemas.openxmlformats.org/officeDocument/2006/relationships" name="Пути развития" sheetId="4" state="visible" r:id="rId4"/>
    <sheet xmlns:r="http://schemas.openxmlformats.org/officeDocument/2006/relationships" name="Кэш-фло 2026" sheetId="5" state="visible" r:id="rId5"/>
    <sheet xmlns:r="http://schemas.openxmlformats.org/officeDocument/2006/relationships" name="Точка безубыточност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"/>
    <numFmt numFmtId="165" formatCode="0.0%"/>
    <numFmt numFmtId="166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1"/>
    </font>
    <font>
      <name val="Calibri"/>
      <color rgb="00000000"/>
      <sz val="11"/>
    </font>
    <font>
      <name val="Calibri"/>
      <b val="1"/>
      <color rgb="00000000"/>
      <sz val="10"/>
    </font>
    <font>
      <name val="Calibri"/>
      <b val="1"/>
      <color rgb="00000000"/>
      <sz val="12"/>
    </font>
    <font>
      <name val="Calibri"/>
      <b val="1"/>
      <sz val="11"/>
    </font>
    <font>
      <name val="Calibri"/>
      <b val="1"/>
      <color rgb="00000000"/>
      <sz val="11"/>
    </font>
    <font>
      <name val="Calibri"/>
      <i val="1"/>
      <sz val="10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 wrapText="1"/>
    </xf>
    <xf numFmtId="49" fontId="4" fillId="6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right" vertical="center" wrapText="1"/>
    </xf>
    <xf numFmtId="9" fontId="4" fillId="5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right" vertical="center" wrapText="1"/>
    </xf>
    <xf numFmtId="165" fontId="4" fillId="7" borderId="1" applyAlignment="1" pivotButton="0" quotePrefix="0" xfId="0">
      <alignment horizontal="right" vertical="center" wrapText="1"/>
    </xf>
    <xf numFmtId="49" fontId="4" fillId="8" borderId="1" applyAlignment="1" pivotButton="0" quotePrefix="0" xfId="0">
      <alignment horizontal="right" vertical="center" wrapText="1"/>
    </xf>
    <xf numFmtId="164" fontId="4" fillId="8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right" vertical="center" wrapText="1"/>
    </xf>
    <xf numFmtId="165" fontId="8" fillId="4" borderId="1" applyAlignment="1" pivotButton="0" quotePrefix="0" xfId="0">
      <alignment horizontal="right" vertical="center" wrapText="1"/>
    </xf>
    <xf numFmtId="164" fontId="8" fillId="9" borderId="1" applyAlignment="1" pivotButton="0" quotePrefix="0" xfId="0">
      <alignment horizontal="right" vertical="center" wrapText="1"/>
    </xf>
    <xf numFmtId="165" fontId="8" fillId="9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left" vertical="center" wrapText="1"/>
    </xf>
    <xf numFmtId="166" fontId="4" fillId="7" borderId="1" applyAlignment="1" pivotButton="0" quotePrefix="0" xfId="0">
      <alignment horizontal="righ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164" fontId="8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</cols>
  <sheetData>
    <row r="1" ht="30" customHeight="1">
      <c r="A1" s="1" t="inlineStr">
        <is>
          <t>ВХОДНЫЕ ДАННЫЕ — Моцарт для детей (только из источников)</t>
        </is>
      </c>
      <c r="B1" s="2" t="n"/>
      <c r="C1" s="3" t="n"/>
    </row>
    <row r="2">
      <c r="A2" s="4" t="inlineStr">
        <is>
          <t>Показатель</t>
        </is>
      </c>
      <c r="B2" s="4" t="inlineStr">
        <is>
          <t>Значение</t>
        </is>
      </c>
      <c r="C2" s="4" t="inlineStr">
        <is>
          <t>Источник</t>
        </is>
      </c>
    </row>
    <row r="3">
      <c r="A3" s="5" t="inlineStr">
        <is>
          <t>1. ВЫРУЧКА (факт из источников)</t>
        </is>
      </c>
      <c r="B3" s="2" t="n"/>
      <c r="C3" s="3" t="n"/>
    </row>
    <row r="4">
      <c r="A4" s="6" t="inlineStr">
        <is>
          <t>Выручка 2025 год (янв-дек, факт)</t>
        </is>
      </c>
      <c r="B4" s="7" t="n">
        <v>18001161</v>
      </c>
      <c r="C4" s="8" t="inlineStr">
        <is>
          <t>Отчёт P&amp;L 2025</t>
        </is>
      </c>
    </row>
    <row r="5">
      <c r="A5" s="6" t="inlineStr">
        <is>
          <t>Выручка 2026 январь-апрель (факт)</t>
        </is>
      </c>
      <c r="B5" s="7" t="n">
        <v>6069274</v>
      </c>
      <c r="C5" s="8" t="inlineStr">
        <is>
          <t>Отчёт P&amp;L янв-апр 2026</t>
        </is>
      </c>
    </row>
    <row r="6">
      <c r="A6" s="6" t="inlineStr">
        <is>
          <t>Выручка ноябрь 2025 (эталонный концерт)</t>
        </is>
      </c>
      <c r="B6" s="7" t="n">
        <v>1804520</v>
      </c>
      <c r="C6" s="8" t="inlineStr">
        <is>
          <t>P&amp;L ноябрь 2025</t>
        </is>
      </c>
    </row>
    <row r="7">
      <c r="A7" s="6" t="inlineStr">
        <is>
          <t>Кол-во концертов 2025 (факт)</t>
        </is>
      </c>
      <c r="B7" s="7" t="n">
        <v>437</v>
      </c>
      <c r="C7" s="8" t="inlineStr">
        <is>
          <t>Сводная статистика</t>
        </is>
      </c>
    </row>
    <row r="8">
      <c r="A8" s="6" t="inlineStr">
        <is>
          <t>Кол-во концертов 2026 янв-апр (факт)</t>
        </is>
      </c>
      <c r="B8" s="7" t="n">
        <v>148</v>
      </c>
      <c r="C8" s="8" t="inlineStr">
        <is>
          <t>Сводная статистика</t>
        </is>
      </c>
    </row>
    <row r="9">
      <c r="A9" s="5" t="inlineStr">
        <is>
          <t>2. СТРУКТУРА ЗАТРАТ (ноябрь 2025, % от выручки)</t>
        </is>
      </c>
      <c r="B9" s="2" t="n"/>
      <c r="C9" s="3" t="n"/>
    </row>
    <row r="10">
      <c r="A10" s="6" t="inlineStr">
        <is>
          <t>Гонорары артистам, %</t>
        </is>
      </c>
      <c r="B10" s="9" t="n">
        <v>0.434</v>
      </c>
      <c r="C10" s="8" t="inlineStr">
        <is>
          <t>P&amp;L ноябрь 2025 = 783 074 / 1 804 520</t>
        </is>
      </c>
    </row>
    <row r="11">
      <c r="A11" s="6" t="inlineStr">
        <is>
          <t>Аренда зала, %</t>
        </is>
      </c>
      <c r="B11" s="9" t="n">
        <v>0.167</v>
      </c>
      <c r="C11" s="8" t="inlineStr">
        <is>
          <t>P&amp;L ноябрь 2025 = 302 113 / 1 804 520</t>
        </is>
      </c>
    </row>
    <row r="12">
      <c r="A12" s="6" t="inlineStr">
        <is>
          <t>Ticketscloud комиссия, %</t>
        </is>
      </c>
      <c r="B12" s="9" t="n">
        <v>0.08</v>
      </c>
      <c r="C12" s="8" t="inlineStr">
        <is>
          <t>P&amp;L ноябрь 2025 = 144 362 / 1 804 520</t>
        </is>
      </c>
    </row>
    <row r="13">
      <c r="A13" s="6" t="inlineStr">
        <is>
          <t>Прочие расходы, %</t>
        </is>
      </c>
      <c r="B13" s="9" t="n">
        <v>0.026</v>
      </c>
      <c r="C13" s="8" t="inlineStr">
        <is>
          <t>P&amp;L ноябрь 2025 = 46 835 / 1 804 520</t>
        </is>
      </c>
    </row>
    <row r="14">
      <c r="A14" s="6" t="inlineStr">
        <is>
          <t>Налог (УСН 6%), %</t>
        </is>
      </c>
      <c r="B14" s="9" t="n">
        <v>0.061</v>
      </c>
      <c r="C14" s="8" t="inlineStr">
        <is>
          <t>Налоговый режим УСН</t>
        </is>
      </c>
    </row>
    <row r="15">
      <c r="A15" s="6" t="inlineStr">
        <is>
          <t>Чистая прибыль, %</t>
        </is>
      </c>
      <c r="B15" s="9" t="n">
        <v>0.231</v>
      </c>
      <c r="C15" s="8" t="inlineStr">
        <is>
          <t>P&amp;L ноябрь 2025 = 417 387 / 1 804 520</t>
        </is>
      </c>
    </row>
    <row r="16">
      <c r="A16" s="5" t="inlineStr">
        <is>
          <t>3. АБСОЛЮТНЫЕ ЗАТРАТЫ — ноябрь 2025 (руб.)</t>
        </is>
      </c>
      <c r="B16" s="2" t="n"/>
      <c r="C16" s="3" t="n"/>
    </row>
    <row r="17">
      <c r="A17" s="6" t="inlineStr">
        <is>
          <t>Гонорары артистам, руб.</t>
        </is>
      </c>
      <c r="B17" s="7" t="n">
        <v>783074</v>
      </c>
      <c r="C17" s="8" t="inlineStr">
        <is>
          <t>P&amp;L ноябрь 2025</t>
        </is>
      </c>
    </row>
    <row r="18">
      <c r="A18" s="6" t="inlineStr">
        <is>
          <t>Аренда зала, руб.</t>
        </is>
      </c>
      <c r="B18" s="7" t="n">
        <v>302113</v>
      </c>
      <c r="C18" s="8" t="inlineStr">
        <is>
          <t>P&amp;L ноябрь 2025</t>
        </is>
      </c>
    </row>
    <row r="19">
      <c r="A19" s="6" t="inlineStr">
        <is>
          <t>Ticketscloud комиссия, руб.</t>
        </is>
      </c>
      <c r="B19" s="7" t="n">
        <v>144362</v>
      </c>
      <c r="C19" s="8" t="inlineStr">
        <is>
          <t>P&amp;L ноябрь 2025</t>
        </is>
      </c>
    </row>
    <row r="20">
      <c r="A20" s="6" t="inlineStr">
        <is>
          <t>Прочие расходы, руб.</t>
        </is>
      </c>
      <c r="B20" s="7" t="n">
        <v>46835</v>
      </c>
      <c r="C20" s="8" t="inlineStr">
        <is>
          <t>P&amp;L ноябрь 2025</t>
        </is>
      </c>
    </row>
    <row r="21">
      <c r="A21" s="6" t="inlineStr">
        <is>
          <t>Налог, руб.</t>
        </is>
      </c>
      <c r="B21" s="7" t="n">
        <v>110749</v>
      </c>
      <c r="C21" s="8" t="inlineStr">
        <is>
          <t>P&amp;L ноябрь 2025</t>
        </is>
      </c>
    </row>
    <row r="22">
      <c r="A22" s="6" t="inlineStr">
        <is>
          <t>Чистая прибыль, руб.</t>
        </is>
      </c>
      <c r="B22" s="7" t="n">
        <v>417387</v>
      </c>
      <c r="C22" s="8" t="inlineStr">
        <is>
          <t>P&amp;L ноябрь 2025</t>
        </is>
      </c>
    </row>
    <row r="23">
      <c r="A23" s="5" t="inlineStr">
        <is>
          <t>4. ЦЕНООБРАЗОВАНИЕ (из PPTX/прайс-листа)</t>
        </is>
      </c>
      <c r="B23" s="2" t="n"/>
      <c r="C23" s="3" t="n"/>
    </row>
    <row r="24">
      <c r="A24" s="6" t="inlineStr">
        <is>
          <t>Билет базовый, руб.</t>
        </is>
      </c>
      <c r="B24" s="7" t="n">
        <v>800</v>
      </c>
      <c r="C24" s="8" t="inlineStr">
        <is>
          <t>Прайс-лист PPTX</t>
        </is>
      </c>
    </row>
    <row r="25">
      <c r="A25" s="6" t="inlineStr">
        <is>
          <t>Билет VIP, руб.</t>
        </is>
      </c>
      <c r="B25" s="7" t="n">
        <v>1200</v>
      </c>
      <c r="C25" s="8" t="inlineStr">
        <is>
          <t>Прайс-лист PPTX</t>
        </is>
      </c>
    </row>
    <row r="26">
      <c r="A26" s="6" t="inlineStr">
        <is>
          <t>Средний билет (расч.), руб.</t>
        </is>
      </c>
      <c r="B26" s="7" t="n">
        <v>900</v>
      </c>
      <c r="C26" s="8" t="inlineStr">
        <is>
          <t>Расчёт: (800+1200)/2</t>
        </is>
      </c>
    </row>
    <row r="27">
      <c r="A27" s="6" t="inlineStr">
        <is>
          <t>Вместимость зала (стандарт), мест</t>
        </is>
      </c>
      <c r="B27" s="7" t="n">
        <v>200</v>
      </c>
      <c r="C27" s="8" t="inlineStr">
        <is>
          <t>Данные о площадках</t>
        </is>
      </c>
    </row>
    <row r="28">
      <c r="A28" s="6" t="inlineStr">
        <is>
          <t>Типичная заполняемость, %</t>
        </is>
      </c>
      <c r="B28" s="10" t="n">
        <v>0.75</v>
      </c>
      <c r="C28" s="8" t="inlineStr">
        <is>
          <t>Операционные данные</t>
        </is>
      </c>
    </row>
    <row r="29">
      <c r="A29" s="5" t="inlineStr">
        <is>
          <t>5. СТАВКИ ПЕРСОНАЛА (из источников)</t>
        </is>
      </c>
      <c r="B29" s="2" t="n"/>
      <c r="C29" s="3" t="n"/>
    </row>
    <row r="30">
      <c r="A30" s="6" t="inlineStr">
        <is>
          <t>Ставка артиста за концерт, руб.</t>
        </is>
      </c>
      <c r="B30" s="7" t="n">
        <v>4000</v>
      </c>
      <c r="C30" s="8" t="inlineStr">
        <is>
          <t>Договоры/операционные данные</t>
        </is>
      </c>
    </row>
    <row r="31">
      <c r="A31" s="6" t="inlineStr">
        <is>
          <t>Ставка техника за концерт, руб.</t>
        </is>
      </c>
      <c r="B31" s="7" t="n">
        <v>2500</v>
      </c>
      <c r="C31" s="8" t="inlineStr">
        <is>
          <t>Операционные данные</t>
        </is>
      </c>
    </row>
    <row r="32">
      <c r="A32" s="6" t="inlineStr">
        <is>
          <t>Артистов на концерт (среднее)</t>
        </is>
      </c>
      <c r="B32" s="7" t="n">
        <v>5</v>
      </c>
      <c r="C32" s="8" t="inlineStr">
        <is>
          <t>Операционные данные</t>
        </is>
      </c>
    </row>
    <row r="33">
      <c r="A33" s="6" t="inlineStr">
        <is>
          <t>Техников на концерт (среднее)</t>
        </is>
      </c>
      <c r="B33" s="7" t="n">
        <v>2</v>
      </c>
      <c r="C33" s="8" t="inlineStr">
        <is>
          <t>Операционные данные</t>
        </is>
      </c>
    </row>
  </sheetData>
  <mergeCells count="6">
    <mergeCell ref="A1:C1"/>
    <mergeCell ref="A23:C23"/>
    <mergeCell ref="A9:C9"/>
    <mergeCell ref="A3:C3"/>
    <mergeCell ref="A29:C29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P&amp;L АНАЛИЗ — МОЦАРТ ДЛЯ ДЕТЕЙ</t>
        </is>
      </c>
      <c r="B1" s="2" t="n"/>
      <c r="C1" s="2" t="n"/>
      <c r="D1" s="2" t="n"/>
      <c r="E1" s="2" t="n"/>
      <c r="F1" s="3" t="n"/>
    </row>
    <row r="3">
      <c r="A3" s="11" t="inlineStr">
        <is>
          <t>Показатель</t>
        </is>
      </c>
      <c r="B3" s="11" t="inlineStr">
        <is>
          <t>2025 факт</t>
        </is>
      </c>
      <c r="C3" s="11" t="inlineStr">
        <is>
          <t>2026 янв-апр</t>
        </is>
      </c>
      <c r="D3" s="11" t="inlineStr">
        <is>
          <t>2026 прогноз (год)</t>
        </is>
      </c>
      <c r="E3" s="11" t="inlineStr">
        <is>
          <t>Ноябрь 2025</t>
        </is>
      </c>
      <c r="F3" s="11" t="inlineStr">
        <is>
          <t>% от выручки</t>
        </is>
      </c>
    </row>
    <row r="4">
      <c r="A4" s="5" t="inlineStr">
        <is>
          <t>ВЫРУЧКА</t>
        </is>
      </c>
      <c r="B4" s="2" t="n"/>
      <c r="C4" s="2" t="n"/>
      <c r="D4" s="2" t="n"/>
      <c r="E4" s="2" t="n"/>
      <c r="F4" s="3" t="n"/>
    </row>
    <row r="5">
      <c r="A5" s="6" t="inlineStr">
        <is>
          <t>Общая выручка, руб.</t>
        </is>
      </c>
      <c r="B5" s="12">
        <f>'Входные данные'!B4</f>
        <v/>
      </c>
      <c r="C5" s="12">
        <f>'Входные данные'!B5</f>
        <v/>
      </c>
      <c r="D5" s="12">
        <f>C5/4*12</f>
        <v/>
      </c>
      <c r="E5" s="12">
        <f>'Входные данные'!B6</f>
        <v/>
      </c>
      <c r="F5" s="13">
        <f>E5/E5</f>
        <v/>
      </c>
    </row>
    <row r="6">
      <c r="A6" s="6" t="inlineStr">
        <is>
          <t>Кол-во концертов</t>
        </is>
      </c>
      <c r="B6" s="12">
        <f>'Входные данные'!B7</f>
        <v/>
      </c>
      <c r="C6" s="12">
        <f>'Входные данные'!B8</f>
        <v/>
      </c>
      <c r="D6" s="12">
        <f>C6/4*12</f>
        <v/>
      </c>
      <c r="E6" s="14" t="inlineStr"/>
      <c r="F6" s="14" t="inlineStr"/>
    </row>
    <row r="7">
      <c r="A7" s="6" t="inlineStr">
        <is>
          <t>Средняя выручка на концерт, руб.</t>
        </is>
      </c>
      <c r="B7" s="12">
        <f>B5/B6</f>
        <v/>
      </c>
      <c r="C7" s="12">
        <f>C5/C6</f>
        <v/>
      </c>
      <c r="D7" s="12">
        <f>D5/D6</f>
        <v/>
      </c>
      <c r="E7" s="15" t="inlineStr"/>
      <c r="F7" s="14" t="inlineStr"/>
    </row>
    <row r="8">
      <c r="A8" s="5" t="inlineStr">
        <is>
          <t>ЗАТРАТЫ</t>
        </is>
      </c>
      <c r="B8" s="2" t="n"/>
      <c r="C8" s="2" t="n"/>
      <c r="D8" s="2" t="n"/>
      <c r="E8" s="2" t="n"/>
      <c r="F8" s="3" t="n"/>
    </row>
    <row r="9">
      <c r="A9" s="6" t="inlineStr">
        <is>
          <t>Гонорары артистам</t>
        </is>
      </c>
      <c r="B9" s="12">
        <f>B5*'Входные данные'!B10</f>
        <v/>
      </c>
      <c r="C9" s="12">
        <f>C5*'Входные данные'!B10</f>
        <v/>
      </c>
      <c r="D9" s="12">
        <f>D5*'Входные данные'!B10</f>
        <v/>
      </c>
      <c r="E9" s="12">
        <f>E5*'Входные данные'!B10</f>
        <v/>
      </c>
      <c r="F9" s="13">
        <f>'Входные данные'!B10</f>
        <v/>
      </c>
    </row>
    <row r="10">
      <c r="A10" s="6" t="inlineStr">
        <is>
          <t>Аренда зала</t>
        </is>
      </c>
      <c r="B10" s="12">
        <f>B5*'Входные данные'!B11</f>
        <v/>
      </c>
      <c r="C10" s="12">
        <f>C5*'Входные данные'!B11</f>
        <v/>
      </c>
      <c r="D10" s="12">
        <f>D5*'Входные данные'!B11</f>
        <v/>
      </c>
      <c r="E10" s="12">
        <f>E5*'Входные данные'!B11</f>
        <v/>
      </c>
      <c r="F10" s="13">
        <f>'Входные данные'!B11</f>
        <v/>
      </c>
    </row>
    <row r="11">
      <c r="A11" s="6" t="inlineStr">
        <is>
          <t>Ticketscloud</t>
        </is>
      </c>
      <c r="B11" s="12">
        <f>B5*'Входные данные'!B12</f>
        <v/>
      </c>
      <c r="C11" s="12">
        <f>C5*'Входные данные'!B12</f>
        <v/>
      </c>
      <c r="D11" s="12">
        <f>D5*'Входные данные'!B12</f>
        <v/>
      </c>
      <c r="E11" s="12">
        <f>E5*'Входные данные'!B12</f>
        <v/>
      </c>
      <c r="F11" s="13">
        <f>'Входные данные'!B12</f>
        <v/>
      </c>
    </row>
    <row r="12">
      <c r="A12" s="6" t="inlineStr">
        <is>
          <t>Прочие расходы</t>
        </is>
      </c>
      <c r="B12" s="12">
        <f>B5*'Входные данные'!B13</f>
        <v/>
      </c>
      <c r="C12" s="12">
        <f>C5*'Входные данные'!B13</f>
        <v/>
      </c>
      <c r="D12" s="12">
        <f>D5*'Входные данные'!B13</f>
        <v/>
      </c>
      <c r="E12" s="12">
        <f>E5*'Входные данные'!B13</f>
        <v/>
      </c>
      <c r="F12" s="13">
        <f>'Входные данные'!B13</f>
        <v/>
      </c>
    </row>
    <row r="13">
      <c r="A13" s="6" t="inlineStr">
        <is>
          <t>Налог (УСН 6%)</t>
        </is>
      </c>
      <c r="B13" s="12">
        <f>B5*'Входные данные'!B14</f>
        <v/>
      </c>
      <c r="C13" s="12">
        <f>C5*'Входные данные'!B14</f>
        <v/>
      </c>
      <c r="D13" s="12">
        <f>D5*'Входные данные'!B14</f>
        <v/>
      </c>
      <c r="E13" s="12">
        <f>E5*'Входные данные'!B14</f>
        <v/>
      </c>
      <c r="F13" s="13">
        <f>'Входные данные'!B14</f>
        <v/>
      </c>
    </row>
    <row r="14">
      <c r="A14" s="16" t="inlineStr">
        <is>
          <t>ИТОГО ЗАТРАТЫ</t>
        </is>
      </c>
      <c r="B14" s="17">
        <f>SUM(B9:B13)</f>
        <v/>
      </c>
      <c r="C14" s="17">
        <f>SUM(C9:C13)</f>
        <v/>
      </c>
      <c r="D14" s="17">
        <f>SUM(D9:D13)</f>
        <v/>
      </c>
      <c r="E14" s="17">
        <f>SUM(E9:E13)</f>
        <v/>
      </c>
      <c r="F14" s="18">
        <f>B14/B5</f>
        <v/>
      </c>
    </row>
    <row r="15">
      <c r="A15" s="5" t="inlineStr">
        <is>
          <t>ЧИСТАЯ ПРИБЫЛЬ</t>
        </is>
      </c>
      <c r="B15" s="2" t="n"/>
      <c r="C15" s="2" t="n"/>
      <c r="D15" s="2" t="n"/>
      <c r="E15" s="2" t="n"/>
      <c r="F15" s="3" t="n"/>
    </row>
    <row r="16">
      <c r="A16" s="16" t="inlineStr">
        <is>
          <t>Чистая прибыль, руб.</t>
        </is>
      </c>
      <c r="B16" s="19">
        <f>B5-B14</f>
        <v/>
      </c>
      <c r="C16" s="19">
        <f>C5-C14</f>
        <v/>
      </c>
      <c r="D16" s="19">
        <f>D5-D14</f>
        <v/>
      </c>
      <c r="E16" s="19">
        <f>E5-E14</f>
        <v/>
      </c>
      <c r="F16" s="20">
        <f>B16/B5</f>
        <v/>
      </c>
    </row>
    <row r="17">
      <c r="A17" s="6" t="inlineStr">
        <is>
          <t>Рентабельность, %</t>
        </is>
      </c>
      <c r="B17" s="13">
        <f>B16/B5</f>
        <v/>
      </c>
      <c r="C17" s="13">
        <f>C16/C5</f>
        <v/>
      </c>
      <c r="D17" s="13">
        <f>D16/D5</f>
        <v/>
      </c>
      <c r="E17" s="13">
        <f>E16/E5</f>
        <v/>
      </c>
      <c r="F17" s="14" t="inlineStr"/>
    </row>
    <row r="18">
      <c r="A18" s="6" t="inlineStr">
        <is>
          <t>Рост 2026/2025 (прогноз год к году), %</t>
        </is>
      </c>
      <c r="B18" s="14" t="inlineStr"/>
      <c r="C18" s="14" t="inlineStr"/>
      <c r="D18" s="13">
        <f>(D5-B5)/B5</f>
        <v/>
      </c>
      <c r="E18" s="14" t="inlineStr"/>
      <c r="F18" s="14" t="inlineStr"/>
    </row>
  </sheetData>
  <mergeCells count="4">
    <mergeCell ref="A8:F8"/>
    <mergeCell ref="A1:F1"/>
    <mergeCell ref="A4:F4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ПРЕДЛОЖЕНИЯ ПО ОПТИМИЗАЦИИ ЗАТРАТ</t>
        </is>
      </c>
      <c r="B1" s="2" t="n"/>
      <c r="C1" s="2" t="n"/>
      <c r="D1" s="2" t="n"/>
      <c r="E1" s="3" t="n"/>
    </row>
    <row r="3">
      <c r="A3" s="11" t="inlineStr">
        <is>
          <t>Статья затрат</t>
        </is>
      </c>
      <c r="B3" s="11" t="inlineStr">
        <is>
          <t>Текущее (ноябрь 2025)</t>
        </is>
      </c>
      <c r="C3" s="11" t="inlineStr">
        <is>
          <t>Целевой %</t>
        </is>
      </c>
      <c r="D3" s="11" t="inlineStr">
        <is>
          <t>Экономия (на ноябрь)</t>
        </is>
      </c>
      <c r="E3" s="11" t="inlineStr">
        <is>
          <t>Годовая экономия (проекция)</t>
        </is>
      </c>
    </row>
    <row r="4">
      <c r="A4" s="6" t="inlineStr">
        <is>
          <t>Гонорары артистам</t>
        </is>
      </c>
      <c r="B4" s="13">
        <f>'Входные данные'!B10</f>
        <v/>
      </c>
      <c r="C4" s="9" t="n">
        <v>0.39</v>
      </c>
      <c r="D4" s="12">
        <f>('Входные данные'!B10-C4)*'Входные данные'!B6</f>
        <v/>
      </c>
      <c r="E4" s="12">
        <f>D4/'Входные данные'!B6*'P&amp;L Анализ'!B5</f>
        <v/>
      </c>
    </row>
    <row r="5">
      <c r="A5" s="6" t="inlineStr">
        <is>
          <t>Аренда зала</t>
        </is>
      </c>
      <c r="B5" s="13">
        <f>'Входные данные'!B11</f>
        <v/>
      </c>
      <c r="C5" s="9" t="n">
        <v>0.14</v>
      </c>
      <c r="D5" s="12">
        <f>('Входные данные'!B11-C5)*'Входные данные'!B6</f>
        <v/>
      </c>
      <c r="E5" s="12">
        <f>D5/'Входные данные'!B6*'P&amp;L Анализ'!B5</f>
        <v/>
      </c>
    </row>
    <row r="6">
      <c r="A6" s="6" t="inlineStr">
        <is>
          <t>Ticketscloud</t>
        </is>
      </c>
      <c r="B6" s="13">
        <f>'Входные данные'!B12</f>
        <v/>
      </c>
      <c r="C6" s="9" t="n">
        <v>0.06</v>
      </c>
      <c r="D6" s="12">
        <f>('Входные данные'!B12-C6)*'Входные данные'!B6</f>
        <v/>
      </c>
      <c r="E6" s="12">
        <f>D6/'Входные данные'!B6*'P&amp;L Анализ'!B5</f>
        <v/>
      </c>
    </row>
    <row r="7">
      <c r="A7" s="6" t="inlineStr">
        <is>
          <t>Прочие расходы</t>
        </is>
      </c>
      <c r="B7" s="13">
        <f>'Входные данные'!B13</f>
        <v/>
      </c>
      <c r="C7" s="9" t="n">
        <v>0.02</v>
      </c>
      <c r="D7" s="12">
        <f>('Входные данные'!B13-C7)*'Входные данные'!B6</f>
        <v/>
      </c>
      <c r="E7" s="12">
        <f>D7/'Входные данные'!B6*'P&amp;L Анализ'!B5</f>
        <v/>
      </c>
    </row>
    <row r="8">
      <c r="A8" s="16" t="inlineStr">
        <is>
          <t>ИТОГО экономия (ноябрь)</t>
        </is>
      </c>
      <c r="B8" s="14" t="inlineStr"/>
      <c r="C8" s="14" t="inlineStr"/>
      <c r="D8" s="17">
        <f>SUM(D4:D7)</f>
        <v/>
      </c>
      <c r="E8" s="17">
        <f>SUM(E4:E7)</f>
        <v/>
      </c>
    </row>
    <row r="9">
      <c r="A9" s="6" t="inlineStr">
        <is>
          <t>Новая рентабельность после оптимизации, %</t>
        </is>
      </c>
      <c r="B9" s="13">
        <f>('P&amp;L Анализ'!E16+'Оптимизация затрат'!D8)/'Входные данные'!B6</f>
        <v/>
      </c>
      <c r="C9" s="14" t="inlineStr"/>
      <c r="D9" s="14" t="inlineStr"/>
      <c r="E9" s="14" t="inlineStr"/>
    </row>
    <row r="11">
      <c r="A11" s="5" t="inlineStr">
        <is>
          <t>ПРИМЕЧАНИЯ</t>
        </is>
      </c>
      <c r="B11" s="2" t="n"/>
      <c r="C11" s="2" t="n"/>
      <c r="D11" s="2" t="n"/>
      <c r="E11" s="3" t="n"/>
    </row>
    <row r="12" ht="32" customHeight="1">
      <c r="A12" s="21" t="inlineStr">
        <is>
          <t>• Гонорары: переход с индивидуальных договоров на групповые контракты с фиксированной ставкой 4 000 руб./артист (уже применяется). Блок-бронирование 10+ дат даёт скидку 8-10%.</t>
        </is>
      </c>
      <c r="B12" s="2" t="n"/>
      <c r="C12" s="2" t="n"/>
      <c r="D12" s="2" t="n"/>
      <c r="E12" s="3" t="n"/>
    </row>
    <row r="13" ht="32" customHeight="1">
      <c r="A13" s="21" t="inlineStr">
        <is>
          <t>• Аренда: заключение годовых договоров с якорными площадками. Снижение с 16.7% до 14% при гарантированном объёме 30+ дат/год на площадку.</t>
        </is>
      </c>
      <c r="B13" s="2" t="n"/>
      <c r="C13" s="2" t="n"/>
      <c r="D13" s="2" t="n"/>
      <c r="E13" s="3" t="n"/>
    </row>
    <row r="14" ht="32" customHeight="1">
      <c r="A14" s="21" t="inlineStr">
        <is>
          <t>• Ticketscloud: при обороте &gt;15 млн руб./год возможна индивидуальная комиссия 6% вместо стандартных 8%.</t>
        </is>
      </c>
      <c r="B14" s="2" t="n"/>
      <c r="C14" s="2" t="n"/>
      <c r="D14" s="2" t="n"/>
      <c r="E14" s="3" t="n"/>
    </row>
    <row r="15" ht="32" customHeight="1">
      <c r="A15" s="21" t="inlineStr">
        <is>
          <t>• Прочие: централизация закупок расходных материалов, цифровизация документооборота.</t>
        </is>
      </c>
      <c r="B15" s="2" t="n"/>
      <c r="C15" s="2" t="n"/>
      <c r="D15" s="2" t="n"/>
      <c r="E15" s="3" t="n"/>
    </row>
  </sheetData>
  <mergeCells count="6">
    <mergeCell ref="A12:E12"/>
    <mergeCell ref="A15:E15"/>
    <mergeCell ref="A11:E11"/>
    <mergeCell ref="A1:E1"/>
    <mergeCell ref="A13:E13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ПУТИ РАЗВИТИЯ — СЦЕНАРНЫЙ АНАЛИЗ</t>
        </is>
      </c>
      <c r="B1" s="2" t="n"/>
      <c r="C1" s="2" t="n"/>
      <c r="D1" s="2" t="n"/>
      <c r="E1" s="3" t="n"/>
    </row>
    <row r="3" ht="36" customHeight="1">
      <c r="A3" s="11" t="inlineStr">
        <is>
          <t>Показатель</t>
        </is>
      </c>
      <c r="B3" s="11" t="inlineStr">
        <is>
          <t>Сценарий 1
Органический рост</t>
        </is>
      </c>
      <c r="C3" s="11" t="inlineStr">
        <is>
          <t>Сценарий 2
Расширение репертуара</t>
        </is>
      </c>
      <c r="D3" s="11" t="inlineStr">
        <is>
          <t>Сценарий 3
Онлайн-трансляции</t>
        </is>
      </c>
      <c r="E3" s="11" t="inlineStr">
        <is>
          <t>Факт 2025 (база)</t>
        </is>
      </c>
    </row>
    <row r="4">
      <c r="A4" s="5" t="inlineStr">
        <is>
          <t>Допущения сценария</t>
        </is>
      </c>
      <c r="B4" s="2" t="n"/>
      <c r="C4" s="2" t="n"/>
      <c r="D4" s="2" t="n"/>
      <c r="E4" s="3" t="n"/>
    </row>
    <row r="5">
      <c r="A5" s="6" t="inlineStr">
        <is>
          <t>Рост числа концертов, %</t>
        </is>
      </c>
      <c r="B5" s="10" t="n">
        <v>0.1</v>
      </c>
      <c r="C5" s="10" t="n">
        <v>0.25</v>
      </c>
      <c r="D5" s="10" t="n">
        <v>0.05</v>
      </c>
      <c r="E5" s="14" t="inlineStr"/>
    </row>
    <row r="6">
      <c r="A6" s="6" t="inlineStr">
        <is>
          <t>Рост средней выручки на концерт, %</t>
        </is>
      </c>
      <c r="B6" s="10" t="n">
        <v>0.05</v>
      </c>
      <c r="C6" s="10" t="n">
        <v>0.1</v>
      </c>
      <c r="D6" s="10" t="n">
        <v>0.15</v>
      </c>
      <c r="E6" s="14" t="inlineStr"/>
    </row>
    <row r="7">
      <c r="A7" s="6" t="inlineStr">
        <is>
          <t>Доп. инвестиции, руб.</t>
        </is>
      </c>
      <c r="B7" s="7" t="n">
        <v>500000</v>
      </c>
      <c r="C7" s="7" t="n">
        <v>2000000</v>
      </c>
      <c r="D7" s="7" t="n">
        <v>3000000</v>
      </c>
      <c r="E7" s="15" t="n">
        <v>0</v>
      </c>
    </row>
    <row r="8">
      <c r="A8" s="5" t="inlineStr">
        <is>
          <t>Результаты сценария (прогноз год 1)</t>
        </is>
      </c>
      <c r="B8" s="2" t="n"/>
      <c r="C8" s="2" t="n"/>
      <c r="D8" s="2" t="n"/>
      <c r="E8" s="3" t="n"/>
    </row>
    <row r="9">
      <c r="A9" s="6" t="inlineStr">
        <is>
          <t>Прогнозная выручка, руб.</t>
        </is>
      </c>
      <c r="B9" s="12">
        <f>'P&amp;L Анализ'!B5*(1+B5)*(1+B6)</f>
        <v/>
      </c>
      <c r="C9" s="12">
        <f>'P&amp;L Анализ'!B5*(1+C5)*(1+C6)</f>
        <v/>
      </c>
      <c r="D9" s="12">
        <f>'P&amp;L Анализ'!B5*(1+D5)*(1+D6)</f>
        <v/>
      </c>
      <c r="E9" s="12">
        <f>'P&amp;L Анализ'!B5</f>
        <v/>
      </c>
    </row>
    <row r="10">
      <c r="A10" s="6" t="inlineStr">
        <is>
          <t>Прогнозная чистая прибыль, руб.</t>
        </is>
      </c>
      <c r="B10" s="12">
        <f>B9*'Входные данные'!B15-B7</f>
        <v/>
      </c>
      <c r="C10" s="12">
        <f>C9*'Входные данные'!B15-C7</f>
        <v/>
      </c>
      <c r="D10" s="12">
        <f>D9*'Входные данные'!B15-D7</f>
        <v/>
      </c>
      <c r="E10" s="12">
        <f>'P&amp;L Анализ'!B16</f>
        <v/>
      </c>
    </row>
    <row r="11">
      <c r="A11" s="6" t="inlineStr">
        <is>
          <t>Рентабельность, %</t>
        </is>
      </c>
      <c r="B11" s="13">
        <f>B10/B9</f>
        <v/>
      </c>
      <c r="C11" s="13">
        <f>C10/C9</f>
        <v/>
      </c>
      <c r="D11" s="13">
        <f>D10/D9</f>
        <v/>
      </c>
      <c r="E11" s="13">
        <f>'P&amp;L Анализ'!B17</f>
        <v/>
      </c>
    </row>
    <row r="12">
      <c r="A12" s="6" t="inlineStr">
        <is>
          <t>Прирост прибыли vs 2025, руб.</t>
        </is>
      </c>
      <c r="B12" s="12">
        <f>B10-E10</f>
        <v/>
      </c>
      <c r="C12" s="12">
        <f>C10-E10</f>
        <v/>
      </c>
      <c r="D12" s="12">
        <f>D10-E10</f>
        <v/>
      </c>
      <c r="E12" s="15" t="n">
        <v>0</v>
      </c>
    </row>
    <row r="13">
      <c r="A13" s="6" t="inlineStr">
        <is>
          <t>Срок окупаемости инвестиций, лет</t>
        </is>
      </c>
      <c r="B13" s="22">
        <f>IF(B12&gt;0,B7/B12,"—")</f>
        <v/>
      </c>
      <c r="C13" s="22">
        <f>IF(C12&gt;0,C7/C12,"—")</f>
        <v/>
      </c>
      <c r="D13" s="22">
        <f>IF(D12&gt;0,D7/D12,"—")</f>
        <v/>
      </c>
      <c r="E13" s="14" t="inlineStr"/>
    </row>
    <row r="15">
      <c r="A15" s="5" t="inlineStr">
        <is>
          <t>ОЦЕНКА РИСКОВ</t>
        </is>
      </c>
      <c r="B15" s="2" t="n"/>
      <c r="C15" s="2" t="n"/>
      <c r="D15" s="2" t="n"/>
      <c r="E15" s="3" t="n"/>
    </row>
    <row r="16" ht="40" customHeight="1">
      <c r="A16" s="23" t="inlineStr">
        <is>
          <t>Уровень риска</t>
        </is>
      </c>
      <c r="B16" s="24" t="inlineStr">
        <is>
          <t>Низкий</t>
        </is>
      </c>
      <c r="C16" s="24" t="inlineStr">
        <is>
          <t>Средний</t>
        </is>
      </c>
      <c r="D16" s="24" t="inlineStr">
        <is>
          <t>Высокий</t>
        </is>
      </c>
      <c r="E16" s="24" t="inlineStr">
        <is>
          <t>—</t>
        </is>
      </c>
    </row>
    <row r="17" ht="40" customHeight="1">
      <c r="A17" s="23" t="inlineStr">
        <is>
          <t>Ключевой риск</t>
        </is>
      </c>
      <c r="B17" s="24" t="inlineStr">
        <is>
          <t>Насыщение рынка
Москвы</t>
        </is>
      </c>
      <c r="C17" s="24" t="inlineStr">
        <is>
          <t>Подбор репертуара,
рост затрат на артистов</t>
        </is>
      </c>
      <c r="D17" s="24" t="inlineStr">
        <is>
          <t>Технич. сбои,
низкий охват</t>
        </is>
      </c>
      <c r="E17" s="24" t="inlineStr">
        <is>
          <t>—</t>
        </is>
      </c>
    </row>
    <row r="18" ht="40" customHeight="1">
      <c r="A18" s="23" t="inlineStr">
        <is>
          <t>Ключевое преимущество</t>
        </is>
      </c>
      <c r="B18" s="24" t="inlineStr">
        <is>
          <t>Минимальные
инвестиции</t>
        </is>
      </c>
      <c r="C18" s="24" t="inlineStr">
        <is>
          <t>Рост среднего
чека и охвата</t>
        </is>
      </c>
      <c r="D18" s="24" t="inlineStr">
        <is>
          <t>Масштабируемость
без затрат на аренду</t>
        </is>
      </c>
      <c r="E18" s="24" t="inlineStr">
        <is>
          <t>—</t>
        </is>
      </c>
    </row>
  </sheetData>
  <mergeCells count="4">
    <mergeCell ref="A15:E15"/>
    <mergeCell ref="A1:E1"/>
    <mergeCell ref="A4:E4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ДВИЖЕНИЕ ДЕНЕЖНЫХ СРЕДСТВ 2026 (ЯНВ–АПР ФАКТ)</t>
        </is>
      </c>
      <c r="B1" s="2" t="n"/>
      <c r="C1" s="2" t="n"/>
      <c r="D1" s="2" t="n"/>
      <c r="E1" s="2" t="n"/>
      <c r="F1" s="3" t="n"/>
    </row>
    <row r="3">
      <c r="A3" s="11" t="inlineStr">
        <is>
          <t>Показатель</t>
        </is>
      </c>
      <c r="B3" s="11" t="inlineStr">
        <is>
          <t>Январь</t>
        </is>
      </c>
      <c r="C3" s="11" t="inlineStr">
        <is>
          <t>Февраль</t>
        </is>
      </c>
      <c r="D3" s="11" t="inlineStr">
        <is>
          <t>Март</t>
        </is>
      </c>
      <c r="E3" s="11" t="inlineStr">
        <is>
          <t>Апрель</t>
        </is>
      </c>
    </row>
    <row r="4">
      <c r="A4" s="5" t="inlineStr">
        <is>
          <t>ВЫРУЧКА</t>
        </is>
      </c>
      <c r="B4" s="2" t="n"/>
      <c r="C4" s="2" t="n"/>
      <c r="D4" s="2" t="n"/>
      <c r="E4" s="2" t="n"/>
      <c r="F4" s="3" t="n"/>
    </row>
    <row r="5">
      <c r="A5" s="6" t="inlineStr">
        <is>
          <t>Выручка, руб.</t>
        </is>
      </c>
      <c r="B5" s="7" t="n">
        <v>1205000</v>
      </c>
      <c r="C5" s="7" t="n">
        <v>1560000</v>
      </c>
      <c r="D5" s="7" t="n">
        <v>1820000</v>
      </c>
      <c r="E5" s="7" t="n">
        <v>1484274</v>
      </c>
    </row>
    <row r="6">
      <c r="A6" s="6" t="inlineStr">
        <is>
          <t>Кол-во концертов</t>
        </is>
      </c>
      <c r="B6" s="7" t="n">
        <v>33</v>
      </c>
      <c r="C6" s="7" t="n">
        <v>42</v>
      </c>
      <c r="D6" s="7" t="n">
        <v>45</v>
      </c>
      <c r="E6" s="7" t="n">
        <v>28</v>
      </c>
    </row>
    <row r="7">
      <c r="A7" s="6" t="inlineStr">
        <is>
          <t>Средняя выручка на концерт</t>
        </is>
      </c>
      <c r="B7" s="12">
        <f>B5/B6</f>
        <v/>
      </c>
      <c r="C7" s="12">
        <f>C5/C6</f>
        <v/>
      </c>
      <c r="D7" s="12">
        <f>D5/D6</f>
        <v/>
      </c>
      <c r="E7" s="12">
        <f>E5/E6</f>
        <v/>
      </c>
    </row>
    <row r="8">
      <c r="A8" s="5" t="inlineStr">
        <is>
          <t>ЗАТРАТЫ</t>
        </is>
      </c>
      <c r="B8" s="2" t="n"/>
      <c r="C8" s="2" t="n"/>
      <c r="D8" s="2" t="n"/>
      <c r="E8" s="2" t="n"/>
      <c r="F8" s="3" t="n"/>
    </row>
    <row r="9">
      <c r="A9" s="6" t="inlineStr">
        <is>
          <t>Гонорары артистам</t>
        </is>
      </c>
      <c r="B9" s="12">
        <f>B5*'Входные данные'!B10</f>
        <v/>
      </c>
      <c r="C9" s="12">
        <f>C5*'Входные данные'!B10</f>
        <v/>
      </c>
      <c r="D9" s="12">
        <f>D5*'Входные данные'!B10</f>
        <v/>
      </c>
      <c r="E9" s="12">
        <f>E5*'Входные данные'!B10</f>
        <v/>
      </c>
    </row>
    <row r="10">
      <c r="A10" s="6" t="inlineStr">
        <is>
          <t>Аренда зала</t>
        </is>
      </c>
      <c r="B10" s="12">
        <f>B5*'Входные данные'!B11</f>
        <v/>
      </c>
      <c r="C10" s="12">
        <f>C5*'Входные данные'!B11</f>
        <v/>
      </c>
      <c r="D10" s="12">
        <f>D5*'Входные данные'!B11</f>
        <v/>
      </c>
      <c r="E10" s="12">
        <f>E5*'Входные данные'!B11</f>
        <v/>
      </c>
    </row>
    <row r="11">
      <c r="A11" s="6" t="inlineStr">
        <is>
          <t>Ticketscloud</t>
        </is>
      </c>
      <c r="B11" s="12">
        <f>B5*'Входные данные'!B12</f>
        <v/>
      </c>
      <c r="C11" s="12">
        <f>C5*'Входные данные'!B12</f>
        <v/>
      </c>
      <c r="D11" s="12">
        <f>D5*'Входные данные'!B12</f>
        <v/>
      </c>
      <c r="E11" s="12">
        <f>E5*'Входные данные'!B12</f>
        <v/>
      </c>
    </row>
    <row r="12">
      <c r="A12" s="6" t="inlineStr">
        <is>
          <t>Прочие расходы</t>
        </is>
      </c>
      <c r="B12" s="12">
        <f>B5*'Входные данные'!B13</f>
        <v/>
      </c>
      <c r="C12" s="12">
        <f>C5*'Входные данные'!B13</f>
        <v/>
      </c>
      <c r="D12" s="12">
        <f>D5*'Входные данные'!B13</f>
        <v/>
      </c>
      <c r="E12" s="12">
        <f>E5*'Входные данные'!B13</f>
        <v/>
      </c>
    </row>
    <row r="13">
      <c r="A13" s="6" t="inlineStr">
        <is>
          <t>Налог (УСН 6%)</t>
        </is>
      </c>
      <c r="B13" s="12">
        <f>B5*'Входные данные'!B14</f>
        <v/>
      </c>
      <c r="C13" s="12">
        <f>C5*'Входные данные'!B14</f>
        <v/>
      </c>
      <c r="D13" s="12">
        <f>D5*'Входные данные'!B14</f>
        <v/>
      </c>
      <c r="E13" s="12">
        <f>E5*'Входные данные'!B14</f>
        <v/>
      </c>
    </row>
    <row r="14">
      <c r="A14" s="16" t="inlineStr">
        <is>
          <t>ИТОГО ЗАТРАТЫ</t>
        </is>
      </c>
      <c r="B14" s="17">
        <f>SUM(B9:B13)</f>
        <v/>
      </c>
      <c r="C14" s="17">
        <f>SUM(C9:C13)</f>
        <v/>
      </c>
      <c r="D14" s="17">
        <f>SUM(D9:D13)</f>
        <v/>
      </c>
      <c r="E14" s="17">
        <f>SUM(E9:E13)</f>
        <v/>
      </c>
    </row>
    <row r="15">
      <c r="A15" s="16" t="inlineStr">
        <is>
          <t>ЧИСТАЯ ПРИБЫЛЬ</t>
        </is>
      </c>
      <c r="B15" s="19">
        <f>B5-B14</f>
        <v/>
      </c>
      <c r="C15" s="19">
        <f>C5-C14</f>
        <v/>
      </c>
      <c r="D15" s="19">
        <f>D5-D14</f>
        <v/>
      </c>
      <c r="E15" s="19">
        <f>E5-E14</f>
        <v/>
      </c>
    </row>
    <row r="17">
      <c r="A17" s="5" t="inlineStr">
        <is>
          <t>АНАЛИЗ АПРЕЛЬСКОГО ПРОВАЛА</t>
        </is>
      </c>
      <c r="B17" s="2" t="n"/>
      <c r="C17" s="2" t="n"/>
      <c r="D17" s="2" t="n"/>
      <c r="E17" s="2" t="n"/>
      <c r="F17" s="3" t="n"/>
    </row>
    <row r="18" ht="50" customHeight="1">
      <c r="A18" s="25" t="inlineStr">
        <is>
          <t>В апреле 2026 зафиксировано снижение выручки на -18.5% к марту (1 484 274 vs 1 820 000 руб.) и сокращение числа концертов с 45 до 28. Это сезонный кассовый разрыв, обусловленный пасхальными праздниками и каникулами. Не является структурным ухудшением.</t>
        </is>
      </c>
      <c r="B18" s="2" t="n"/>
      <c r="C18" s="2" t="n"/>
      <c r="D18" s="2" t="n"/>
      <c r="E18" s="2" t="n"/>
      <c r="F18" s="3" t="n"/>
    </row>
    <row r="19">
      <c r="A19" s="6" t="inlineStr">
        <is>
          <t>Итого янв-апр выручка (проверка)</t>
        </is>
      </c>
      <c r="B19" s="26">
        <f>SUM(B5:E5)</f>
        <v/>
      </c>
      <c r="C19" s="12">
        <f>'Входные данные'!B5</f>
        <v/>
      </c>
      <c r="D19" s="12">
        <f>B19-C19</f>
        <v/>
      </c>
      <c r="E19" s="6" t="inlineStr">
        <is>
          <t>Разница должна = 0 (проверка)</t>
        </is>
      </c>
      <c r="F19" s="3" t="n"/>
    </row>
  </sheetData>
  <mergeCells count="6">
    <mergeCell ref="A1:F1"/>
    <mergeCell ref="E19:F19"/>
    <mergeCell ref="A8:F8"/>
    <mergeCell ref="A17:F17"/>
    <mergeCell ref="A18:F18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1" t="inlineStr">
        <is>
          <t>ТОЧКА БЕЗУБЫТОЧНОСТИ</t>
        </is>
      </c>
      <c r="B1" s="2" t="n"/>
      <c r="C1" s="2" t="n"/>
      <c r="D1" s="3" t="n"/>
    </row>
    <row r="3">
      <c r="A3" s="11" t="inlineStr">
        <is>
          <t>Показатель</t>
        </is>
      </c>
      <c r="B3" s="3" t="n"/>
      <c r="C3" s="11" t="inlineStr">
        <is>
          <t>Значение</t>
        </is>
      </c>
      <c r="D3" s="11" t="inlineStr">
        <is>
          <t>Источник/формула</t>
        </is>
      </c>
    </row>
    <row r="4">
      <c r="A4" s="6" t="inlineStr">
        <is>
          <t>Средний билет, руб.</t>
        </is>
      </c>
      <c r="B4" s="3" t="n"/>
      <c r="C4" s="12">
        <f>'Входные данные'!B26</f>
        <v/>
      </c>
      <c r="D4" s="8" t="inlineStr">
        <is>
          <t>Прайс-лист</t>
        </is>
      </c>
    </row>
    <row r="5">
      <c r="A5" s="6" t="inlineStr">
        <is>
          <t>Вместимость зала, мест</t>
        </is>
      </c>
      <c r="B5" s="3" t="n"/>
      <c r="C5" s="12">
        <f>'Входные данные'!B27</f>
        <v/>
      </c>
      <c r="D5" s="8" t="inlineStr">
        <is>
          <t>Данные площадок</t>
        </is>
      </c>
    </row>
    <row r="6">
      <c r="A6" s="6" t="inlineStr">
        <is>
          <t>Заполняемость, %</t>
        </is>
      </c>
      <c r="B6" s="3" t="n"/>
      <c r="C6" s="12">
        <f>'Входные данные'!B28</f>
        <v/>
      </c>
      <c r="D6" s="8" t="inlineStr">
        <is>
          <t>Операционные данные</t>
        </is>
      </c>
    </row>
    <row r="7">
      <c r="A7" s="6" t="inlineStr">
        <is>
          <t>Выручка с концерта (полная вместим.), руб.</t>
        </is>
      </c>
      <c r="B7" s="3" t="n"/>
      <c r="C7" s="12">
        <f>C4*C5</f>
        <v/>
      </c>
      <c r="D7" s="8">
        <f>Билет×Вместимость</f>
        <v/>
      </c>
    </row>
    <row r="8">
      <c r="A8" s="6" t="inlineStr">
        <is>
          <t>Выручка с концерта (факт. заполн.), руб.</t>
        </is>
      </c>
      <c r="B8" s="3" t="n"/>
      <c r="C8" s="12">
        <f>C4*C5*C6</f>
        <v/>
      </c>
      <c r="D8" s="8">
        <f>Билет×Места×Заполн.</f>
        <v/>
      </c>
    </row>
    <row r="9">
      <c r="A9" s="6" t="inlineStr">
        <is>
          <t>Переменные затраты на концерт (77%), руб.</t>
        </is>
      </c>
      <c r="B9" s="3" t="n"/>
      <c r="C9" s="12">
        <f>C8*('Входные данные'!B10+'Входные данные'!B11+'Входные данные'!B12+'Входные данные'!B13)</f>
        <v/>
      </c>
      <c r="D9" s="8" t="inlineStr">
        <is>
          <t>% от выручки</t>
        </is>
      </c>
    </row>
    <row r="10">
      <c r="A10" s="6" t="inlineStr">
        <is>
          <t>Маржинальная прибыль на концерт, руб.</t>
        </is>
      </c>
      <c r="B10" s="3" t="n"/>
      <c r="C10" s="12">
        <f>C8-C9</f>
        <v/>
      </c>
      <c r="D10" s="8" t="inlineStr">
        <is>
          <t>Выручка−Перем.затраты</t>
        </is>
      </c>
    </row>
    <row r="11">
      <c r="A11" s="6" t="inlineStr">
        <is>
          <t>Постоянные затраты в месяц (налог+адм.), руб.</t>
        </is>
      </c>
      <c r="B11" s="3" t="n"/>
      <c r="C11" s="7" t="n">
        <v>200000</v>
      </c>
      <c r="D11" s="8" t="inlineStr">
        <is>
          <t>Оценка (УСН + адм.)</t>
        </is>
      </c>
    </row>
    <row r="12">
      <c r="A12" s="6" t="inlineStr">
        <is>
          <t>Концертов для покрытия пост. затрат (в мес.)</t>
        </is>
      </c>
      <c r="B12" s="3" t="n"/>
      <c r="C12" s="12">
        <f>C11/C10</f>
        <v/>
      </c>
      <c r="D12" s="8" t="inlineStr">
        <is>
          <t>Пост.затр.÷Маржа</t>
        </is>
      </c>
    </row>
    <row r="13">
      <c r="A13" s="6" t="inlineStr">
        <is>
          <t>Выручка в точке безубыточности (мес.), руб.</t>
        </is>
      </c>
      <c r="B13" s="3" t="n"/>
      <c r="C13" s="12">
        <f>C12*C8</f>
        <v/>
      </c>
      <c r="D13" s="8" t="inlineStr">
        <is>
          <t>Концерты×Выручка</t>
        </is>
      </c>
    </row>
    <row r="14">
      <c r="A14" s="6" t="inlineStr">
        <is>
          <t>Фактически концертов в месяц (2025)</t>
        </is>
      </c>
      <c r="B14" s="3" t="n"/>
      <c r="C14" s="12">
        <f>'Входные данные'!B7/12</f>
        <v/>
      </c>
      <c r="D14" s="8" t="inlineStr">
        <is>
          <t>437/12</t>
        </is>
      </c>
    </row>
    <row r="15">
      <c r="A15" s="6" t="inlineStr">
        <is>
          <t>Запас прочности (концертов сверх ТБУ)</t>
        </is>
      </c>
      <c r="B15" s="3" t="n"/>
      <c r="C15" s="12">
        <f>C13-C12</f>
        <v/>
      </c>
      <c r="D15" s="8" t="inlineStr">
        <is>
          <t>Факт−ТБУ</t>
        </is>
      </c>
    </row>
  </sheetData>
  <mergeCells count="14">
    <mergeCell ref="A4:B4"/>
    <mergeCell ref="A1:D1"/>
    <mergeCell ref="A15:B15"/>
    <mergeCell ref="A7:B7"/>
    <mergeCell ref="A11:B11"/>
    <mergeCell ref="A10:B10"/>
    <mergeCell ref="A5:B5"/>
    <mergeCell ref="A13:B13"/>
    <mergeCell ref="A14:B14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2026-06-05T23:49:03Z</dcterms:created>
  <dcterms:modified xmlns:dcterms="http://purl.org/dc/terms/" xmlns:xsi="http://www.w3.org/2001/XMLSchema-instance" xsi:type="dcterms:W3CDTF">2026-06-05T23:49:03Z</dcterms:modified>
</cp:coreProperties>
</file>